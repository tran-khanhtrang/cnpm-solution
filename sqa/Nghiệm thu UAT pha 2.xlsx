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ìa" sheetId="1" r:id="rId5"/>
    <sheet state="visible" name="ATP" sheetId="2" r:id="rId6"/>
    <sheet state="visible" name="API CSP " sheetId="3" r:id="rId7"/>
    <sheet state="visible" name="CMS_admin" sheetId="4" r:id="rId8"/>
    <sheet state="visible" name="CMS_CP" sheetId="5" r:id="rId9"/>
    <sheet state="visible" name="UAT kịch bản gói Bundle" sheetId="6" r:id="rId10"/>
  </sheets>
  <definedNames/>
  <calcPr/>
</workbook>
</file>

<file path=xl/sharedStrings.xml><?xml version="1.0" encoding="utf-8"?>
<sst xmlns="http://schemas.openxmlformats.org/spreadsheetml/2006/main" count="3888" uniqueCount="1849">
  <si>
    <t>Biên bản nghiệm thu tính năng
 hệ thống dịch vụ Digital Market  Phase 2
- Số hóa CP và gói cước Bundle-</t>
  </si>
  <si>
    <t>STT</t>
  </si>
  <si>
    <t>Nội dung</t>
  </si>
  <si>
    <t>Pass</t>
  </si>
  <si>
    <t>Fail</t>
  </si>
  <si>
    <t>Pending</t>
  </si>
  <si>
    <t>N/A</t>
  </si>
  <si>
    <t>Untested</t>
  </si>
  <si>
    <t>Number of  test cases</t>
  </si>
  <si>
    <t>Link TCs</t>
  </si>
  <si>
    <t xml:space="preserve">CMS Digital Market	</t>
  </si>
  <si>
    <t>ATP</t>
  </si>
  <si>
    <t>API CSP_Phase2</t>
  </si>
  <si>
    <t>CMS_Admin_Phase2</t>
  </si>
  <si>
    <t>CMS_CP_Phase2</t>
  </si>
  <si>
    <t>UAT kịch bản gói</t>
  </si>
  <si>
    <t>Sub total</t>
  </si>
  <si>
    <t>Tỷ lệ bao phủ</t>
  </si>
  <si>
    <t>%</t>
  </si>
  <si>
    <t>Tỷ lệ bao phủ thành công</t>
  </si>
  <si>
    <t>Phòng Phát triển sản phẩm</t>
  </si>
  <si>
    <t>Phòng Vận hành</t>
  </si>
  <si>
    <t>Phòng Phát triển kinh doanh</t>
  </si>
  <si>
    <t xml:space="preserve">
Hồ Thị Thúy Hà    Đỗ Thị Hằng</t>
  </si>
  <si>
    <t xml:space="preserve">
Tô Đình Minh Cường </t>
  </si>
  <si>
    <t xml:space="preserve">
Bùi Thị Thùy Dương</t>
  </si>
  <si>
    <t xml:space="preserve">
Ngô Nhật Anh     Đồng Tiến Đạt</t>
  </si>
  <si>
    <t>Trần Phan Anh</t>
  </si>
  <si>
    <t>Hà Thị Hồng Thái</t>
  </si>
  <si>
    <t xml:space="preserve">Kết quả </t>
  </si>
  <si>
    <t>Total</t>
  </si>
  <si>
    <t>ID</t>
  </si>
  <si>
    <t>Tên Test Case</t>
  </si>
  <si>
    <t>Tiền điều kiện</t>
  </si>
  <si>
    <t>Các bước thực hiện</t>
  </si>
  <si>
    <t>Kết quả mong muốn</t>
  </si>
  <si>
    <t>Kết quả thực tế</t>
  </si>
  <si>
    <t>Ngày thực hiện</t>
  </si>
  <si>
    <t>Mức độ ưu tiên</t>
  </si>
  <si>
    <t>Bug fix status</t>
  </si>
  <si>
    <t>Fixed by</t>
  </si>
  <si>
    <t>Ghi chú</t>
  </si>
  <si>
    <t>I./</t>
  </si>
  <si>
    <t>Truy cập CMS Admin</t>
  </si>
  <si>
    <t>TC_001</t>
  </si>
  <si>
    <t>Truy cập trang CMS Admin</t>
  </si>
  <si>
    <r>
      <rPr>
        <rFont val="Times New Roman"/>
        <sz val="14.0"/>
      </rPr>
      <t xml:space="preserve">Truy cập trang CMS Admin thành công và sử dụng được các tính năng (chi tiết testcase CMS Admin
Domain: </t>
    </r>
    <r>
      <rPr>
        <rFont val="Times New Roman"/>
        <color rgb="FF1155CC"/>
        <sz val="14.0"/>
        <u/>
      </rPr>
      <t>http://dimarket.vn/digitalMarketing/login</t>
    </r>
  </si>
  <si>
    <r>
      <rPr>
        <rFont val="Times New Roman"/>
        <color theme="1"/>
        <sz val="14.0"/>
      </rPr>
      <t xml:space="preserve">Truy cập trang CMS Admin thành công và sử dụng được các tính năng 
</t>
    </r>
    <r>
      <rPr>
        <rFont val="Times New Roman"/>
        <b/>
        <color theme="1"/>
        <sz val="14.0"/>
      </rPr>
      <t>(chi tiết testcase CMS Admin)</t>
    </r>
  </si>
  <si>
    <t>Thành công</t>
  </si>
  <si>
    <t>II./</t>
  </si>
  <si>
    <t>Truy cập CMS CP</t>
  </si>
  <si>
    <t>TC_002</t>
  </si>
  <si>
    <t>Truy cập trang CMS CP</t>
  </si>
  <si>
    <r>
      <rPr>
        <rFont val="Times New Roman"/>
        <sz val="14.0"/>
      </rPr>
      <t xml:space="preserve">Truy cập trang CMS Admin thành công và sử dụng được các tính năng (chi tiết testcase CMS CP)
Domain: </t>
    </r>
    <r>
      <rPr>
        <rFont val="Times New Roman"/>
        <color rgb="FF1155CC"/>
        <sz val="14.0"/>
        <u/>
      </rPr>
      <t>http://dimarket.vn/digitalMarketing_cp/login</t>
    </r>
  </si>
  <si>
    <r>
      <rPr>
        <rFont val="Times New Roman"/>
        <color theme="1"/>
        <sz val="14.0"/>
      </rPr>
      <t xml:space="preserve">Truy cập trang CMS CP thành công và sử dụng được các tính năng 
</t>
    </r>
    <r>
      <rPr>
        <rFont val="Times New Roman"/>
        <b/>
        <color theme="1"/>
        <sz val="14.0"/>
      </rPr>
      <t>(chi tiết testcase CMS CP)</t>
    </r>
  </si>
  <si>
    <t>III./</t>
  </si>
  <si>
    <t>Tích hợp hệ thống MBG</t>
  </si>
  <si>
    <t>TC_003</t>
  </si>
  <si>
    <t>Khai báo sản phẩm và được duyệt lần 1 trên DMP</t>
  </si>
  <si>
    <t>Tích hợp tạo gói thành công sang MBG</t>
  </si>
  <si>
    <t>2026-02-27 17:38:31,508 [INFO] (controller.TblProductController):468 - Parameter:: approveSubmit productId=530
2026-02-27 17:38:31,779 [INFO] (service.MbgApiService):175 - Request url: http://10.144.82.231:8088/mbgcmsa/package/create, request: {"request_id":1772188711766,"authen_key":"eyJ0eXAiOiJKV1QiLCJhbGciOiJSUzI1NiJ9.eyJtc2lzZG4iOiI4NDk0NjQ0NjQyNCIsInJlcXVlc3RUaW1lIjoiMTYyMzIyNzIwODUyNSJ9.tYs2iRDm5oexDdgcRIZDfjaZ3HEJh1GBfq_smGGmF1UbWqZTDb61Hj7wP2PcrfeM-cT_IZbxNMdd6bQ36Bk4LyNSWrvdFy8Gj6G7OFcnfC5d9_LPPwnqkW-V2-EnbpDY9tlHbNsEFNiGd602Pk3SPOiVk1MQFAFbmjWdFg4E9Dm4cmq1eq6Qr6CAzRUO3o8jxdFoHGRRmEkN1UMr_X9uzPXGCdsL_CAjVgGHxGFGFMhMyiyy-M6vK5ZMVqgYrnNHvH9PUXGDmkQz7BqmxGBdmo6FyqXwb5rL0i2LaEBlSIR6bEXoSREBXdIR82bO0rTP-gDczs7cN5YryYj0TiWgag","content_pack_code":"PATEST2","content_pack_name":"PATEST2","api_url":"http://10.144.92.2:8080/cpbga","api_sync_url":"http://10.144.92.2:8080/cpbga","description":"test2","allow_auto_renew":1,"allow_postpaid":1,"duration_unit":1,"duraction_cycle":1,"allow_duplicate":0,"price":0,"vascloud_service":"DIGITALMARKET","vascloud_package":"PATEST2","renew_price_tklh":2,"allow_prepaid":1,"allow_ezcom":0,"data_plus":30,"data_plus_code":"DC_MBG2_30MB_1D","csp_code":"CP_MEDIA","service_code":"DIGITALMARKET","retry_number":1,"retry_period":8,"package_type":1,"whitelist":"84915285568, 84845148866","mt_short_code":"1376","charging_option":2,"is_check_data_when_unreg":0,"allow_convert_packages":0,"check_bigdata_consumption":0,"comsumption_or_active_time":0,"renew_tel_30_days":0,"api_status":0,"is_sent_mt3":0,"cp_name":"CP NHATANHTEST-DIGITALMARKET"}, authen: Bearer eyJ0eXAiOiJKV1QiLCJhbGciOiJSUzI1NiJ9.eyJtc2lzZG4iOiI4NDk0NjQ0NjQyNCIsInJlcXVlc3RUaW1lIjoiMTYyMzIyNzIwODUyNSJ9.tYs2iRDm5oexDdgcRIZDfjaZ3HEJh1GBfq_smGGmF1UbWqZTDb61Hj7wP2PcrfeM-cT_IZbxNMdd6bQ36Bk4LyNSWrvdFy8Gj6G7OFcnfC5d9_LPPwnqkW-V2-EnbpDY9tlHbNsEFNiGd602Pk3SPOiVk1MQFAFbmjWdFg4E9Dm4cmq1eq6Qr6CAzRUO3o8jxdFoHGRRmEkN1UMr_X9uzPXGCdsL_CAjVgGHxGFGFMhMyiyy-M6vK5ZMVqgYrnNHvH9PUXGDmkQz7BqmxGBdmo6FyqXwb5rL0i2LaEBlSIR6bEXoSREBXdIR82bO0rTP-gDczs7cN5YryYj0TiWgag
2026-02-27 17:38:31,854 [INFO] (service.MbgApiService):182 - Response url:http://10.144.82.231:8088/mbgcmsa/package/create, request: {"request_id":1772188711766,"authen_key":"eyJ0eXAiOiJKV1QiLCJhbGciOiJSUzI1NiJ9.eyJtc2lzZG4iOiI4NDk0NjQ0NjQyNCIsInJlcXVlc3RUaW1lIjoiMTYyMzIyNzIwODUyNSJ9.tYs2iRDm5oexDdgcRIZDfjaZ3HEJh1GBfq_smGGmF1UbWqZTDb61Hj7wP2PcrfeM-cT_IZbxNMdd6bQ36Bk4LyNSWrvdFy8Gj6G7OFcnfC5d9_LPPwnqkW-V2-EnbpDY9tlHbNsEFNiGd602Pk3SPOiVk1MQFAFbmjWdFg4E9Dm4cmq1eq6Qr6CAzRUO3o8jxdFoHGRRmEkN1UMr_X9uzPXGCdsL_CAjVgGHxGFGFMhMyiyy-M6vK5ZMVqgYrnNHvH9PUXGDmkQz7BqmxGBdmo6FyqXwb5rL0i2LaEBlSIR6bEXoSREBXdIR82bO0rTP-gDczs7cN5YryYj0TiWgag","content_pack_code":"PATEST2","content_pack_name":"PATEST2","api_url":"http://10.144.92.2:8080/cpbga","api_sync_url":"http://10.144.92.2:8080/cpbga","description":"test2","allow_auto_renew":1,"allow_postpaid":1,"duration_unit":1,"duraction_cycle":1,"allow_duplicate":0,"price":0,"vascloud_service":"DIGITALMARKET","vascloud_package":"PATEST2","renew_price_tklh":2,"allow_prepaid":1,"allow_ezcom":0,"data_plus":30,"data_plus_code":"DC_MBG2_30MB_1D","csp_code":"CP_MEDIA","service_code":"DIGITALMARKET","retry_number":1,"retry_period":8,"package_type":1,"whitelist":"84915285568, 84845148866","mt_short_code":"1376","charging_option":2,"is_check_data_when_unreg":0,"allow_convert_packages":0,"check_bigdata_consumption":0,"comsumption_or_active_time":0,"renew_tel_30_days":0,"api_status":0,"is_sent_mt3":0,"cp_name":"CP NHATANHTEST-DIGITALMARKET"}, result: {"error_code":0,"error_desc":"Success"}
2026-02-27 17:38:31,901 [INFO] (handler.HandlerInterceptorAdapter):122 - Request URL::/product/approveSubmit:: End Time=1772188711901
2026-02-27 17:38:31,901 [INFO] (handler.HandlerInterceptorAdapter):124 - Request URL::/product/approveSubmit:: Time Taken=394</t>
  </si>
  <si>
    <t>TC_004</t>
  </si>
  <si>
    <t>Tích hợp đăng ký sản phẩm</t>
  </si>
  <si>
    <t>Đăng ký thành công sản phẩm</t>
  </si>
  <si>
    <t>Tích hợp đăng ký gói thành công sang MBG</t>
  </si>
  <si>
    <t>2026-02-27 18:38:07 [http-nio-3333-exec-1]  c.v.c.s.MbgService                 Line 125 - INFO  -----  REQUEST MBG: {"reason":"","is_uncharge_tkvt":0,"user_name":"DIGITALMARKET","channel":"DIMARKET","cp_name":"CP_MEDIA","trans_id":"17321772192286993866","cp_code":"CP_MEDIA","authen_key":"d3f69314224c795ce7f42010bf75e0d5","mo_syntax":"","start_time":1772192286993,"request_time":1772192286993,"service_code":"DIGITALMARKET","msisdn":"84845148866","expiry_time":"","request_id":1772192286993,"send_sms":1,"order_id":"","content_code":"PATEST2","short_code":"1376","trans_type":"DK"}=&gt; RESPONSE CALL API: {"error_code":0,"message":"Success"}
2026-02-27 18:38:07 [http-nio-3333-exec-1]  c.v.c.c.ApiWebsiteController       Line 289 - INFO  ----- RequestModel(requestId=1772192286836, product_id=530, via=1, channel=SMS, order_id=-1, account_id=-1, msisdn=84845148866, shortCode=1376, moId=726184233, type=1, subId=0)==ResponseModel(reasoncode=0, message=Success, mt=null, mtExtend=null, requestid=1772192286836)</t>
  </si>
  <si>
    <t>TC_005</t>
  </si>
  <si>
    <t>Tích hợp hủy sản phẩm</t>
  </si>
  <si>
    <t>Hủy thành công sản phẩm</t>
  </si>
  <si>
    <t>Tích hợp hủy gói thành công sang MBG</t>
  </si>
  <si>
    <t>(VH điền log request, respond)</t>
  </si>
  <si>
    <t>TC_006</t>
  </si>
  <si>
    <t>Tích hợp nhận sự kiện notify đăng ký</t>
  </si>
  <si>
    <t>Nhận sự kiện notify đăng ký thành công sản phẩm</t>
  </si>
  <si>
    <t>Tích hợp API notify thành công với MBG</t>
  </si>
  <si>
    <t>TC_007</t>
  </si>
  <si>
    <t>Đăng ký sản phẩm Bundle</t>
  </si>
  <si>
    <t>Khai báo sản phẩm và được duyệt lần 1 trên DMP
Thông tin sản phẩm test: 
- Tên sản phẩm (*) VUIHOCTEST4
- Mã sản phẩm (*) VUIHOCTEST4
- Giá gốc (VND) (*) 0
- Thuê bao nghiệm thu (*) 0915285568,0914353353
- Loại tích hợp (*) Upload file CMS
- Quyền lợi Data (*) 30MB/chu kỳ: 1 ngày
- Nhóm sản phẩm (*) Giải trí kỹ thuật số – Nội dung số
- Loại trừ cước (*) Trừ cước TK linh hoạt
- Đầu số gửi MT (*) 1376
- Số lần gọi retry gia hạn sản phẩm (*)  10
- Khoảng cách giữa các lần retry gia hạn sản phẩm (*) 8
☑ Sản phẩm tự động gia hạn
☑ Áp dụng cho thuê bao trả trước
☑ Áp dụng cho thuê bao trả sau</t>
  </si>
  <si>
    <t>- Đăng ký thành công sản phẩm
- Thuê bao được quản lý trên hệ thống MBG</t>
  </si>
  <si>
    <t>Tích hợp API đăng ký CSP</t>
  </si>
  <si>
    <t>- Đăng ký thành công sản phẩm nội dung</t>
  </si>
  <si>
    <t>TÍch hợp API đối tác thành công</t>
  </si>
  <si>
    <t xml:space="preserve">2026-02-25 10:58:18 [http-nio-8181-exec-5]  c.v.s.c.MoController               Line 38  - INFO  ----- MO RECEIVE Request: &lt;ACCESSGW&gt;&lt;MODULE&gt;SMSGW&lt;/MODULE&gt;&lt;MESSAGE_TYPE&gt;NOTIFY&lt;/MESSAGE_TYPE&gt;&lt;COMMAND&gt;&lt;mo_id&gt;725812892&lt;/mo_id&gt;&lt;destination_address&gt;1376&lt;/destination_address&gt;&lt;source_address&gt;84845148866&lt;/source_address&gt;&lt;mo_time&gt;20260225105819&lt;/mo_time&gt;&lt;content_type&gt;TEXT&lt;/content_type&gt;&lt;content&gt;dm vho7&lt;/content&gt;&lt;encode_content&gt;0&lt;/encode_content&gt;&lt;callback_url&gt;http://10.144.94.5:8181/moApi/receive&lt;/callback_url&gt;&lt;/COMMAND&gt;&lt;/ACCESSGW&gt;
2026-02-25 10:58:21 [http-nio-3333-exec-3]  c.v.c.u.CCGWClient                 Line 59  - INFO  ----- &lt;ACCESSGW&gt;
    &lt;MODULE&gt;CHARGINGGW&lt;/MODULE&gt;
    &lt;MESSAGETYPE&gt;REQUEST&lt;/MESSAGETYPE&gt;
    &lt;COMMAND&gt;
        &lt;CCGWRequest servicename="DIGITALMARKET" username ="digitalmarket" password=""&gt;
            &lt;RequestType&gt;1&lt;/RequestType&gt;
            &lt;SequenceNumber&gt;2026105821&lt;/SequenceNumber&gt;
            &lt;SubId&gt;84845148866&lt;/SubId&gt;
            &lt;Price&gt;3000&lt;/Price&gt;
            &lt;Reason&gt;REG&lt;/Reason&gt;
            &lt;TRANSID&gt;10390000006301771991901414866&lt;/TRANSID&gt;
            &lt;ORIGINALPRICE&gt;3000&lt;/ORIGINALPRICE&gt;
            &lt;PROMOTION&gt;0&lt;/PROMOTION&gt;
            &lt;NOTE&gt;Vuihocngay_1&lt;/NOTE&gt;
            &lt;CHANNEL&gt;SMS&lt;/CHANNEL&gt;
            &lt;ORDER&gt;0&lt;/ORDER&gt;
            &lt;Content&gt;
                &lt;item contenttype="SUBSCRIPTION" subcontenttype="VI" contentid="2" contentname="Vuihocngay" cpname="SMARTMEDIA-DIGITALMARKET" contentprice="3000" note="" /&gt;
            &lt;/Content&gt;
        &lt;/CCGWRequest&gt;
    &lt;/COMMAND&gt;
&lt;/ACCESSGW&gt;
 ==&gt; TKC2026105821
 ==&gt; http://10.144.37.10:7001/charginggw/billing
 ==&gt; &lt;?xml version="1.0" encoding="utf-8" standalone="yes"?&gt;&lt;CCGWResponse&gt;&lt;Error&gt;0&lt;/Error&gt;&lt;ErrorDesc&gt;Successful&lt;/ErrorDesc&gt;&lt;InternalCode/&gt;&lt;SequenceNumber&gt;2026105821&lt;/SequenceNumber&gt;&lt;Price&gt;3000&lt;/Price&gt;&lt;Promotion&gt;0&lt;/Promotion&gt;&lt;Note&gt;10390000006301771991901414866_DFS0A3VMADVK606_VCLOUD_91202602251058219000000066_DIGITALMARKET_Vuihocngay_REG_1&lt;/Note&gt;&lt;/CCGWResponse&gt;
2026-02-25 10:58:21 [http-nio-4444-exec-1]  c.v.c.u.PostCSP                    Line 143 - INFO  -----  REQUEST REG URL =http://10.144.116.171:8096/cspapi//register -- {"account_cpbg":"","paidtype":"PREPAID","unitduration":1,"serviceCode":"DIGITALMARKET","originalprice":3000,"contentpack":"VHO7","channel":"SMS","duration":1,"timeStart":"20260225105821000000468","subtype":"mobile","requestid":"20260225105823935000000","price":3000,"syntax":"DK VHO7","msisdn":"84845148866","promotion":1}
2026-02-25 10:58:22 [http-nio-4444-exec-1]  c.v.c.u.PostCSP                    Line 146 - INFO  ----- RESPONSE REG URL = http://10.144.116.171:8096/cspapi//register --requestid--20260225105823935000000 -- {"password":"","mtExtend":"Cam on Quy khach da lua chon Vui hoc - Duo On luyen. Quy khach vui long truy cap duong link vuihoc.vn de su dung san pham. Chi tiet  lien he 18001091(0d).","requestid":"20260225105823935000000","voucher":"","mt":"Quy khach da thanh toan thanh cong goi san pham VHO7 (Gia cuoc 3.000d/24h, gia han theo chu ky). Ma su dung la CQDLWC. De huy, vui long soan HUY VHO7 gui 1376. Truy cap https://dimarket.vn/ de so huu cac san pham voi gia cuoc uu dai chi co tren Digital Market - nen tang TMDT cua VNPT. CSKH 18001091 (0d). Tran trong!","reasoncode":0,"giftcode":"","message":"success","account":""}
</t>
  </si>
  <si>
    <t>Tích hợp API gia hạn CSP</t>
  </si>
  <si>
    <t>Gia hạn thành công sản phẩm nội dung</t>
  </si>
  <si>
    <t xml:space="preserve">2026-02-25 08:34:30 [http-nio-8181-exec-9]  c.v.s.c.MoController               Line 38  - INFO  ----- MO RECEIVE Request: &lt;ACCESSGW&gt;&lt;MODULE&gt;SMSGW&lt;/MODULE&gt;&lt;MESSAGE_TYPE&gt;NOTIFY&lt;/MESSAGE_TYPE&gt;&lt;COMMAND&gt;&lt;mo_id&gt;725791452&lt;/mo_id&gt;&lt;destination_address&gt;1376&lt;/destination_address&gt;&lt;source_address&gt;84888024472&lt;/source_address&gt;&lt;mo_time&gt;20260225083430&lt;/mo_time&gt;&lt;content_type&gt;TEXT&lt;/content_type&gt;&lt;content&gt;DK VHO7&lt;/content&gt;&lt;encode_content&gt;0&lt;/encode_content&gt;&lt;callback_url&gt;http://10.144.94.5:8181/moApi/receive&lt;/callback_url&gt;&lt;/COMMAND&gt;&lt;/ACCESSGW&gt;
2026-02-25 08:34:31 [http-nio-3333-exec-1]  c.v.c.u.CCGWClient                 Line 59  - INFO  ----- &lt;ACCESSGW&gt;
    &lt;MODULE&gt;CHARGINGGW&lt;/MODULE&gt;
    &lt;MESSAGETYPE&gt;REQUEST&lt;/MESSAGETYPE&gt;
    &lt;COMMAND&gt;
        &lt;CCGWRequest servicename="DIGITALMARKET" username ="digitalmarket" password=""&gt;
            &lt;RequestType&gt;1&lt;/RequestType&gt;
            &lt;SequenceNumber&gt;2026084501&lt;/SequenceNumber&gt;
            &lt;SubId&gt;84888024472&lt;/SubId&gt;
            &lt;Price&gt;3000&lt;/Price&gt;
            &lt;Reason&gt;RENEW&lt;/Reason&gt;
            &lt;TRANSID&gt;10390000007481771983901798472&lt;/TRANSID&gt;
            &lt;ORIGINALPRICE&gt;3000&lt;/ORIGINALPRICE&gt;
            &lt;PROMOTION&gt;0&lt;/PROMOTION&gt;
            &lt;NOTE&gt;Vuihocngay_1&lt;/NOTE&gt;
            &lt;CHANNEL&gt;SMS&lt;/CHANNEL&gt;
            &lt;ORDER&gt;0&lt;/ORDER&gt;
            &lt;Content&gt;
                &lt;item contenttype="SUBSCRIPTION" subcontenttype="VI" contentid="2" contentname="Vuihocngay" cpname="SMARTMEDIA-DIGITALMARKET" contentprice="3000" note="" /&gt;
            &lt;/Content&gt;
        &lt;/CCGWRequest&gt;
    &lt;/COMMAND&gt;
&lt;/ACCESSGW&gt;
 ==&gt; TKC2026084501
 ==&gt; http://10.144.37.10:7001/charginggw/billing
 ==&gt; &lt;?xml version="1.0" encoding="utf-8" standalone="yes"?&gt;&lt;CCGWResponse&gt;&lt;Error&gt;0&lt;/Error&gt;&lt;ErrorDesc&gt;Successful&lt;/ErrorDesc&gt;&lt;InternalCode/&gt;&lt;SequenceNumber&gt;2026084501&lt;/SequenceNumber&gt;&lt;Price&gt;3000&lt;/Price&gt;&lt;Promotion&gt;0&lt;/Promotion&gt;&lt;Note&gt;10390000007481771983901798472_DFS0A3VMADVK606_VCLOUD_91202602250845019000000056_DIGITALMARKET_Vuihocngay_RENEW_1&lt;/Note&gt;&lt;/CCGWResponse&gt;
2026-02-25 08:34:32 [http-nio-4444-exec-9]  c.v.c.u.PostCSP                    Line 146 - INFO  ----- RESPONSE REG URL = http://10.144.116.171:8096/cspapi//register --requestid--20260225083437937000000 -- {"password":"","mtExtend":"Cam on Quy khach da lua chon Vui hoc - Duo On luyen. Quy khach vui long truy cap duong link vuihoc.vn de su dung san pham. Chi tiet  lien he 18001091(0d).","requestid":"20260225083437937000000","voucher":"","mt":"Quy khach da thanh toan thanh cong goi san pham VHO7 (Gia cuoc 3.000d/24h, gia han theo chu ky). Ma su dung la Y35HJZ. De huy, vui long soan HUY VHO7 gui 1376. Truy cap https://dimarket.vn/ de so huu cac san pham voi gia cuoc uu dai chi co tren Digital Market - nen tang TMDT cua VNPT. CSKH 18001091 (0d). Tran trong!","reasoncode":0,"giftcode":"","message":"success","account":""}
</t>
  </si>
  <si>
    <t>Tích hợp API hủy CSP</t>
  </si>
  <si>
    <t>Hủy thành công sản phẩm nội dung</t>
  </si>
  <si>
    <t xml:space="preserve">2026-02-25 08:46:29 [http-nio-8181-exec-3]  c.v.s.c.MoController               Line 38  - INFO  ----- MO RECEIVE Request: &lt;ACCESSGW&gt;&lt;MODULE&gt;SMSGW&lt;/MODULE&gt;&lt;MESSAGE_TYPE&gt;NOTIFY&lt;/MESSAGE_TYPE&gt;&lt;COMMAND&gt;&lt;mo_id&gt;725793350&lt;/mo_id&gt;&lt;destination_address&gt;1376&lt;/destination_address&gt;&lt;source_address&gt;84888024472&lt;/source_address&gt;&lt;mo_time&gt;20260225084629&lt;/mo_time&gt;&lt;content_type&gt;TEXT&lt;/content_type&gt;&lt;content&gt;Huy VHO7&lt;/content&gt;&lt;encode_content&gt;0&lt;/encode_content&gt;&lt;callback_url&gt;http://10.144.94.5:8181/moApi/receive&lt;/callback_url&gt;&lt;/COMMAND&gt;&lt;/ACCESSGW&gt;
2026-02-25 08:46:33 [http-nio-3333-exec-3]  c.v.c.c.ApiWebsiteController       Line 95  - INFO  ----- Request =&gt; RequestModel(requestId=1771983991572, product_id=482, via=1, channel=SMS, order_id=-1, account_id=-1, msisdn=84888024472, shortCode=1376, moId=725793350, type=2, subId=0)
2026-02-25 08:46:33 [http-nio-3333-exec-3]  c.v.c.c.ApiWebsiteController       Line 99  - INFO  ----- clientIp=10.144.94.5
2026-02-25 08:46:33 [http-nio-3333-exec-3]  c.v.c.u.PostCSP                    Line 41  - INFO  ----- URL=http://10.144.94.15:4444/csp_core/unreg
2026-02-25 08:46:33 [http-nio-3333-exec-3]  c.v.c.u.PostCSP                    Line 42  - INFO  ----- param={"url":"http://10.144.116.171:8096/cspapi/","requestid":"20260225084635135000000","contentpack":"VHO7","serviceCode":"DIGITALMARKET","msisdn":"84888024472","account_cpbg":"","subtype":"mobile","paidtype":"PREPAID","timeStart":null,"timeDel":"20260225084633000000134","securecode":null,"syntax":"HUY VHO7","channel":"SMS","promotion":0,"price":0,"originalprice":0,"unitduration":0,"duration":0,"renewresult":0,"pricekm":0,"pricemain":0}
2026-02-25 08:46:33 [http-nio-3333-exec-3]  c.v.c.s.UnRegServie                Line 155 - INFO  ----- CALL CSP CORE unreg{"url":"http://10.144.116.171:8096/cspapi/","requestid":"20260225084635135000000","contentpack":"VHO7","serviceCode":"DIGITALMARKET","msisdn":"84888024472","account_cpbg":"","subtype":"mobile","paidtype":"PREPAID","timeStart":null,"timeDel":"20260225084633000000134","securecode":null,"syntax":"HUY VHO7","channel":"SMS","promotion":0,"price":0,"originalprice":0,"unitduration":0,"duration":0,"renewresult":0,"pricekm":0,"pricemain":0} == {"requestid":"20260225084635135000000","reasoncode":0,"message":"success"}
2026-02-25 08:46:33 [http-nio-3333-exec-3]  c.v.c.c.ApiWebsiteController       Line 194 - INFO  ----- RequestModel(requestId=1771983991572, product_id=482, via=1, channel=SMS, order_id=-1, account_id=-1, msisdn=84888024472, shortCode=1376, moId=725793350, type=2, subId=0)==ResponseModel(reasoncode=0, message=success, mt=null, mtExtend=null, requestid=1771983991572)
2026-02-25 08:46:33 [http-nio-4444-exec-3]  c.v.c.u.PostCSP                    Line 180 - INFO  -----  REQUEST UNREG URL =http://10.144.116.171:8096/cspapi//unregister -- {"timedel":"","account_cpbg":"","paidtype":"PREPAID","serviceCode":"DIGITALMARKET","requestid":"20260225084635135000000","contentpack":"VHO7","channel":"SMS","syntax":"HUY VHO7","msisdn":"84888024472","account":""}
2026-02-25 08:46:33 [http-nio-4444-exec-3]  c.v.c.u.PostCSP                    Line 183 - INFO  ----- RESPONSE UNREG URL = http://10.144.116.171:8096/cspapi//unregister --requestid--20260225084635135000000 -- {"requestid":"20260225084635135000000","reasoncode":0,"message":"success"}
</t>
  </si>
  <si>
    <t>Quản lý hồ sơ</t>
  </si>
  <si>
    <t>Danh sách hồ sơ</t>
  </si>
  <si>
    <t>Kiểm tra truy cập màn hình [Danh sách hồ sơ]</t>
  </si>
  <si>
    <t>User (Admin/PM) đã đăng nhập CMS Digital Market và được cấp quyền [Quản lý hồ sơ]</t>
  </si>
  <si>
    <t>1) Truy cập menu [Quản lý hồ sơ] 
2) Mở màn hình [Danh sách hồ sơ]</t>
  </si>
  <si>
    <t>- Điều hướng đúng tới màn hình [Danh sách hồ sơ] 
- Màn hình hiển thị đầy đủ các khu vực: khu tìm kiếm/lọc, bảng danh sách, phân trang (nếu có dữ liệu)</t>
  </si>
  <si>
    <t>Kiểm tra hiển thị dữ liệu mặc định khi mở màn hình [Danh sách hồ sơ]</t>
  </si>
  <si>
    <t>Có tối thiểu 2 hồ sơ tồn tại</t>
  </si>
  <si>
    <t>1) Mở màn hình [Danh sách hồ sơ] lần đầu</t>
  </si>
  <si>
    <t>- Hệ thống tự động load danh sách hồ sơ (không cần bấm button[Tìm kiếm]) 
- Hiển thị tất cả hồ sơ theo phạm vi dữ liệu đã confirm (không ẩn trạng thái nào)</t>
  </si>
  <si>
    <t>Kiểm tra thứ tự sắp xếp mặc định theo [created_date] từ mới đến cũ</t>
  </si>
  <si>
    <t>Có tối thiểu 3 hồ sơ với [created_date] khác nhau</t>
  </si>
  <si>
    <t>1) Mở màn hình [Danh sách hồ sơ] 
2) Quan sát thứ tự các dòng</t>
  </si>
  <si>
    <t>- Danh sách được sắp xếp theo [created_date] giảm dần (mới → cũ)</t>
  </si>
  <si>
    <t>Kiểm tra phân trang với [PageSize] tối đa 20 bản ghi/trang</t>
  </si>
  <si>
    <t>Có &gt; 20 hồ sơ</t>
  </si>
  <si>
    <t>1) Mở màn hình [Danh sách hồ sơ] 
2) Quan sát số dòng hiển thị trên trang 1</t>
  </si>
  <si>
    <t>- Mỗi trang hiển thị tối đa 20 bản ghi</t>
  </si>
  <si>
    <t>Đang có 10 bản ghi/ 1trang</t>
  </si>
  <si>
    <t>Accepted</t>
  </si>
  <si>
    <t>Kiểm tra chuyển trang khi bấm điều khiển phân trang</t>
  </si>
  <si>
    <t>1) Ở trang 1, bấm trang 2 (hoặc button điều hướng next)</t>
  </si>
  <si>
    <t>- Danh sách chuyển sang trang được chọn 
- Dữ liệu hiển thị đúng theo trang</t>
  </si>
  <si>
    <t>Kiểm tra [PageLength] không giới hạn</t>
  </si>
  <si>
    <t>Có nhiều hơn 2 trang dữ liệu</t>
  </si>
  <si>
    <t>1) Lần lượt chuyển qua nhiều trang (1 → 2 → 3 …)</t>
  </si>
  <si>
    <t>- Có thể điều hướng qua tất cả các trang dữ liệu 
- Không bị giới hạn số trang tối đa</t>
  </si>
  <si>
    <t>Kiểm tra hiển thị các cột trên bảng [Danh sách hồ sơ]</t>
  </si>
  <si>
    <t>Đang ở màn hình [Danh sách hồ sơ]</t>
  </si>
  <si>
    <t>1) Quan sát header bảng</t>
  </si>
  <si>
    <t>- Bảng hiển thị đầy đủ các cột theo SRS (ví dụ: [STT], [Tên CP], [Mã CP], [Tên văn bản], [Loại văn bản], [Hình thức], [Trạng thái hồ sơ], [File type], [Ngày cập nhật cuối], [Ghi chú], [Thao tác])</t>
  </si>
  <si>
    <t>Thiếu các trường: File type, Ghi chú =&gt; BA đồng ý</t>
  </si>
  <si>
    <t>TC_008</t>
  </si>
  <si>
    <t>Kiểm tra tìm kiếm theo field [Tên văn bản] dạng contain</t>
  </si>
  <si>
    <t>Có hồ sơ có [Tên văn bản] chứa chuỗi “ABC”</t>
  </si>
  <si>
    <t>1) Nhập “ABC” vào field[Tên văn bản] 
2) Bấm button[Tìm kiếm]</t>
  </si>
  <si>
    <t>- Danh sách trả về các hồ sơ có [Tên văn bản] chứa “ABC”</t>
  </si>
  <si>
    <t>TC_009</t>
  </si>
  <si>
    <t>Kiểm tra tìm kiếm theo field [Tên văn bản] không phân biệt hoa/thường</t>
  </si>
  <si>
    <t>Có hồ sơ có [Tên văn bản] chứa “abc”</t>
  </si>
  <si>
    <t>- Kết quả tìm kiếm vẫn trả về các hồ sơ có [Tên văn bản] chứa “abc/ABC” 
- Tìm kiếm không phân biệt hoa/thường</t>
  </si>
  <si>
    <t>TC_010</t>
  </si>
  <si>
    <t>Kiểm tra tìm kiếm theo field [Tên văn bản] khi không có kết quả</t>
  </si>
  <si>
    <t>1) Nhập chuỗi không tồn tại vào field[Tên văn bản] 
2) Bấm button[Tìm kiếm]</t>
  </si>
  <si>
    <t>- Bảng kết quả không có bản ghi phù hợp 
- Hiển thị trạng thái “không có dữ liệu” (theo UI hệ thống)</t>
  </si>
  <si>
    <t>TC_011</t>
  </si>
  <si>
    <t>Kiểm tra tìm kiếm khi để trống field[Tên văn bản]</t>
  </si>
  <si>
    <t>1) Xóa trống field[Tên văn bản] 
2) Bấm button[Tìm kiếm]</t>
  </si>
  <si>
    <t>- Hệ thống trả về danh sách hồ sơ theo điều kiện lọc khác (nếu có) 
- Nếu không chọn lọc nào khác thì trả về tất cả hồ sơ</t>
  </si>
  <si>
    <t>TC_012</t>
  </si>
  <si>
    <t>Kiểm tra bộ lọc [Trạng thái] có đúng 3 giá trị</t>
  </si>
  <si>
    <t>1) Mở droplist field[Trạng thái]</t>
  </si>
  <si>
    <t>- Droplist field[Trạng thái] hiển thị đúng 3 giá trị: [Tất cả], [Chờ duyệt], [Đã duyệt]</t>
  </si>
  <si>
    <t>Theo Q&amp;A bộ lọc chỉ có 3 trạng thái: Tất cả, Chờ duyệt, Đã duyệt</t>
  </si>
  <si>
    <t>TC_013</t>
  </si>
  <si>
    <t>Kiểm tra giá trị mặc định của field[Trạng thái]</t>
  </si>
  <si>
    <t>1) Mở màn hình [Danh sách hồ sơ]</t>
  </si>
  <si>
    <t>- Field[Trạng thái] mặc định chọn [Tất cả]</t>
  </si>
  <si>
    <t>TC_014</t>
  </si>
  <si>
    <t>Kiểm tra lọc theo trạng thái [Chờ duyệt]</t>
  </si>
  <si>
    <t>Có hồ sơ ở trạng thái [Chờ duyệt]</t>
  </si>
  <si>
    <t>1) Chọn [Chờ duyệt] tại field[Trạng thái] 2) Bấm button[Tìm kiếm]</t>
  </si>
  <si>
    <t>- Danh sách chỉ hiển thị các hồ sơ có trạng thái [Chờ duyệt]</t>
  </si>
  <si>
    <t>TC_015</t>
  </si>
  <si>
    <t>Kiểm tra lọc theo trạng thái [Đã duyệt]</t>
  </si>
  <si>
    <t>Có hồ sơ ở trạng thái [Đã duyệt]</t>
  </si>
  <si>
    <t>1) Chọn [Đã duyệt] tại field[Trạng thái] 
2) Bấm button[Tìm kiếm]</t>
  </si>
  <si>
    <t>- Danh sách chỉ hiển thị các hồ sơ có trạng thái [Đã duyệt]</t>
  </si>
  <si>
    <t>TC_016</t>
  </si>
  <si>
    <t>Kiểm tra lọc theo trạng thái [Tất cả]</t>
  </si>
  <si>
    <t>Có nhiều hồ sơ ở nhiều trạng thái</t>
  </si>
  <si>
    <t>1) Chọn [Tất cả] tại field[Trạng thái] 
2) Bấm button[Tìm kiếm]</t>
  </si>
  <si>
    <t>- Danh sách hiển thị hồ sơ của tất cả trạng thái trong phạm vi dữ liệu</t>
  </si>
  <si>
    <t>TC_017</t>
  </si>
  <si>
    <t>Kiểm tra tìm kiếm kết hợp [Tên văn bản] + [Trạng thái]</t>
  </si>
  <si>
    <t>Có dữ liệu thỏa điều kiện kết hợp</t>
  </si>
  <si>
    <t>1) Nhập “ABC” vào field[Tên văn bản] 
2) Chọn [Chờ duyệt] tại field[Trạng thái] 
3) Bấm button[Tìm kiếm]</t>
  </si>
  <si>
    <t>- Kết quả chỉ gồm hồ sơ có [Tên văn bản] chứa “ABC” 
- Và có [Trạng thái] = [Chờ duyệt]</t>
  </si>
  <si>
    <t>TC_023</t>
  </si>
  <si>
    <t>Kiểm tra hiển thị thao tác [Duyệt] theo trạng thái [Chờ duyệt]</t>
  </si>
  <si>
    <t>Có hồ sơ trạng thái [Chờ duyệt]</t>
  </si>
  <si>
    <t>1) Quan sát cột [Thao tác] tại hồ sơ [Chờ duyệt]</t>
  </si>
  <si>
    <t>- Hồ sơ [Chờ duyệt] hiển thị thao tác [Duyệt]</t>
  </si>
  <si>
    <t>Hiển thị chung cả duyệt và từ chối trong popup</t>
  </si>
  <si>
    <t>TC_024</t>
  </si>
  <si>
    <t>Kiểm tra hiển thị thao tác [Từ chối] theo trạng thái [Chờ duyệt]</t>
  </si>
  <si>
    <t>- Hồ sơ [Chờ duyệt] hiển thị thao tác [Từ chối]</t>
  </si>
  <si>
    <t>TC_027</t>
  </si>
  <si>
    <t>Kiểm tra button[Duyệt] trên popup duyệt hồ sơ</t>
  </si>
  <si>
    <t>Có popup [Duyệt/Từ chối hồ sơ] đang mở</t>
  </si>
  <si>
    <t>1) Bấm button[Duyệt]</t>
  </si>
  <si>
    <t>- Hồ sơ được duyệt thành công 
- Trạng thái hồ sơ chuyển sang [Đã duyệt] 
- Danh sách được cập nhật theo trạng thái mới</t>
  </si>
  <si>
    <t>TC_028</t>
  </si>
  <si>
    <t>Kiểm tra button[Từ chối] trên popup duyệt hồ sơ khi chưa nhập field[Lý do]</t>
  </si>
  <si>
    <t>1) Để trống field[Lý do] 
2) Bấm button[Từ chối]</t>
  </si>
  <si>
    <t>- Hiển thị validate yêu cầu nhập field[Lý do] 
- Không thực hiện từ chối khi chưa có [Lý do]</t>
  </si>
  <si>
    <t>TC_029</t>
  </si>
  <si>
    <t>Kiểm tra button[Từ chối] trên popup duyệt hồ sơ khi đã nhập field[Lý do]</t>
  </si>
  <si>
    <t>1) Nhập giá trị vào field[Lý do] 
2) Bấm button[Từ chối]</t>
  </si>
  <si>
    <t>- Hồ sơ bị từ chối thành công 
- Trạng thái hồ sơ cập nhật thành từ chối</t>
  </si>
  <si>
    <t>TC_030</t>
  </si>
  <si>
    <t>Kiểm tra mở popup xác nhận khi thực hiện thao tác [Xóa]</t>
  </si>
  <si>
    <t>Có hồ sơ [Chờ duyệt]</t>
  </si>
  <si>
    <t>1) Tại 1 hồ sơ [Chờ duyệt], bấm thao tác [Xóa]</t>
  </si>
  <si>
    <t>- Hiển thị popup xác nhận xóa đúng nội dung theo SRS (có [Tên hồ sơ] và [Tên đối tác])</t>
  </si>
  <si>
    <t>TC_031</t>
  </si>
  <si>
    <t>Kiểm tra button[Đồng ý] trên popup [Xóa hồ sơ]</t>
  </si>
  <si>
    <t>Có popup [Xóa hồ sơ] đang mở</t>
  </si>
  <si>
    <t>1) Bấm button[Đồng ý]</t>
  </si>
  <si>
    <t>- Xóa hồ sơ thành công 
- Hồ sơ bị ẩn khỏi danh sách ngay sau khi xác nhận xóa 
- Không hiển thị trạng thái “đã xóa” trên danh sách (theo Q&amp;A)</t>
  </si>
  <si>
    <t>TC_032</t>
  </si>
  <si>
    <t>Kiểm tra button[Hủy] trên popup [Xóa hồ sơ]</t>
  </si>
  <si>
    <t>1) Bấm button[Hủy]</t>
  </si>
  <si>
    <t>- Đóng popup 
- Hồ sơ vẫn giữ nguyên trên danh sách 
- Không có thay đổi trạng thái/dữ liệu</t>
  </si>
  <si>
    <t>TC_036</t>
  </si>
  <si>
    <t>Kiểm tra tìm kiếm giữ đúng thứ tự sắp xếp mặc định</t>
  </si>
  <si>
    <t>Có nhiều hồ sơ thỏa điều kiện tìm kiếm</t>
  </si>
  <si>
    <t>1) Nhập điều kiện tìm kiếm (ví dụ field [Tên văn bản] = “A”) 
2) Bấm button [Tìm kiếm]</t>
  </si>
  <si>
    <t>- Kết quả tìm kiếm vẫn sắp xếp theo [created_date] giảm dần (mới → cũ)</t>
  </si>
  <si>
    <t>Thêm hồ sơ</t>
  </si>
  <si>
    <t>TC_048</t>
  </si>
  <si>
    <t>Kiểm tra điều hướng khi bấm button [Thêm mới hồ sơ] từ màn hình [Danh sách hồ sơ]</t>
  </si>
  <si>
    <t>Admin đã đăng nhập và đang ở màn hình [Danh sách hồ sơ]</t>
  </si>
  <si>
    <t>1) Bấm button[Thêm mới hồ sơ]</t>
  </si>
  <si>
    <t>- Điều hướng sang màn hình [Thêm mới hồ sơ]</t>
  </si>
  <si>
    <t>TC_049</t>
  </si>
  <si>
    <t>Kiểm tra hiển thị các trường thông tin trên màn hình [Thêm mới hồ sơ]</t>
  </si>
  <si>
    <t>Admin đang ở màn hình [Thêm mới hồ sơ]</t>
  </si>
  <si>
    <t>1) Quan sát form</t>
  </si>
  <si>
    <t>- Tên CP
- Mã CP
- Hiển thị field[Tên văn bản]
- Hiển thị field[Loại văn bản]
- Hiển thị field[Hình thức văn bản]
- Hiển thị field[Ghi chú]
- Hiển thị button[Upload file]
- Hiển thị button[Cập nhật]</t>
  </si>
  <si>
    <t>TC_050</t>
  </si>
  <si>
    <t>Kiểm tra danh sách field[Loại văn bản] là cố định giá trị</t>
  </si>
  <si>
    <t>1) Mở dropdown field[Loại văn bản]</t>
  </si>
  <si>
    <t>- Dropdown field[Loại văn bản] hiển thị danh sách giá trị cố định theo cấu hình hệ thống
- Không cho phép nhập tay giá trị ngoài danh sách</t>
  </si>
  <si>
    <t>TC_051</t>
  </si>
  <si>
    <t>Kiểm tra validate bắt buộc của field[Tên văn bản]</t>
  </si>
  <si>
    <t>1) Để trống field[Tên văn bản]
2) Nhập/Chọn hợp lệ các field bắt buộc khác
3) Bấm button[Cập nhật] và xác nhận OK (nếu có popup)</t>
  </si>
  <si>
    <t>- Hiển thị thông báo lỗi tại field[Tên văn bản] (yêu cầu nhập)
- Không tạo mới hồ sơ</t>
  </si>
  <si>
    <t>TC_052</t>
  </si>
  <si>
    <t>Kiểm tra validate bắt buộc của field[Loại văn bản]</t>
  </si>
  <si>
    <t>1) Không chọn giá trị field[Loại văn bản] (để mặc định “Chọn” nếu có)
2) Nhập/Chọn hợp lệ các field bắt buộc khác
3) Bấm button[Cập nhật] và xác nhận OK</t>
  </si>
  <si>
    <t>- Hiển thị thông báo lỗi tại field[Loại văn bản] (yêu cầu chọn)
- Không tạo mới hồ sơ</t>
  </si>
  <si>
    <t>TC_053</t>
  </si>
  <si>
    <t>Kiểm tra validate bắt buộc của field[Hình thức văn bản]</t>
  </si>
  <si>
    <t>1) Không chọn giá trị field[Hình thức văn bản] (để mặc định “Chọn” nếu có)
2) Nhập/Chọn hợp lệ các field bắt buộc khác
3) Bấm button[Cập nhật] và xác nhận OK</t>
  </si>
  <si>
    <t>- Hiển thị thông báo lỗi tại field[Hình thức văn bản] (yêu cầu chọn)
- Không tạo mới hồ sơ</t>
  </si>
  <si>
    <t>TC_054</t>
  </si>
  <si>
    <t>Kiểm tra chỉ cho upload 1 file cho mỗi hồ sơ</t>
  </si>
  <si>
    <t>1) Bấm button[Upload file] và upload file_1 hợp lệ
2) Bấm button[Upload file] và chọn upload file_2</t>
  </si>
  <si>
    <t>- Hệ thống chỉ cho phép gắn 1 file cho hồ sơ
- Nếu upload lần 2: file mới thay thế file cũ hoặc hệ thống chặn không cho upload thêm (theo cơ chế hiện có trên UI)</t>
  </si>
  <si>
    <t>TC_055</t>
  </si>
  <si>
    <t>Kiểm tra validate định dạng file upload chỉ cho phép [.pdf]</t>
  </si>
  <si>
    <t>1) Bấm button[Upload file]
2) Chọn file không phải .pdf (ví dụ .docx/.png)</t>
  </si>
  <si>
    <t>- Hệ thống không chấp nhận file upload
- Hiển thị thông báo lỗi định dạng file (chỉ cho phép PDF)</t>
  </si>
  <si>
    <t>TC_056</t>
  </si>
  <si>
    <t>Kiểm tra validate dung lượng file upload tối đa 10MB</t>
  </si>
  <si>
    <t>1) Bấm button[Upload file]
2) Chọn file .pdf có dung lượng &gt; 10MB</t>
  </si>
  <si>
    <t>- Hệ thống không chấp nhận file upload
- Hiển thị thông báo lỗi dung lượng file vượt quá 10MB</t>
  </si>
  <si>
    <t>TC_057</t>
  </si>
  <si>
    <t>Kiểm tra upload file hợp lệ (.pdf &lt;=10MB)</t>
  </si>
  <si>
    <t>1) Bấm button[Upload file]
2) Chọn file .pdf dung lượng &lt;= 10MB</t>
  </si>
  <si>
    <t>- Upload thành công
- Hiển thị thông tin file đã upload (tên file hoặc trạng thái uploaded)</t>
  </si>
  <si>
    <t>TC_058</t>
  </si>
  <si>
    <t>Kiểm tra không hỗ trợ thêm nhiều hồ sơ trong 1 lần thao tác</t>
  </si>
  <si>
    <t>1) Quan sát màn hình [Thêm mới hồ sơ]</t>
  </si>
  <si>
    <t>- Không có chức năng thêm nhiều hồ sơ cùng lúc (không có import/multi-row/multi-add)</t>
  </si>
  <si>
    <t>TC_059</t>
  </si>
  <si>
    <t>Kiểm tra không có validate theo từng dòng (do không có tính năng thêm nhiều dòng)</t>
  </si>
  <si>
    <t>- Không có cơ chế validate “theo từng dòng” do màn hình chỉ tạo 1 hồ sơ/lần</t>
  </si>
  <si>
    <t>TC_060</t>
  </si>
  <si>
    <t>Kiểm tra không có button [Hủy] trên màn hình [Thêm mới hồ sơ]</t>
  </si>
  <si>
    <t>1) Quan sát khu vực thao tác</t>
  </si>
  <si>
    <t>- Không hiển thị button[Hủy] (tính năng chưa có)</t>
  </si>
  <si>
    <t>Hiện tại đang làm là button [Đóng]</t>
  </si>
  <si>
    <t>TC_062</t>
  </si>
  <si>
    <t>Kiểm tra tạo mới hồ sơ thành công</t>
  </si>
  <si>
    <t>1) Nhập field[Tên văn bản] hợp lệ và không trùng
2) Chọn field[Loại văn bản] hợp lệ
3) Chọn field[Hình thức văn bản] hợp lệ
4) Upload file .pdf &lt;=10MB
5) Bấm button[Cập nhật] và xác nhận OK</t>
  </si>
  <si>
    <t>- Tạo hồ sơ thành công
- Hồ sơ được ghi nhận với đầy đủ thông tin và file đính kèm</t>
  </si>
  <si>
    <t>TC_063</t>
  </si>
  <si>
    <t>Kiểm tra trạng thái hồ sơ sau khi tạo mới là [Chờ duyệt]</t>
  </si>
  <si>
    <t>Vừa tạo mới hồ sơ thành công (TC_051)</t>
  </si>
  <si>
    <t>1) Quay về màn hình [Danh sách hồ sơ]
2) Tìm hồ sơ vừa tạo</t>
  </si>
  <si>
    <t>- Hồ sơ vừa tạo có [Trạng thái] = [Chờ duyệt]</t>
  </si>
  <si>
    <t>TC_066</t>
  </si>
  <si>
    <t>Kiểm tra không cho chỉnh sửa hồ sơ khi không ở trạng thái [Chờ duyệt]</t>
  </si>
  <si>
    <t>Admin đang ở màn hình [Danh sách hồ sơ], có hồ sơ [Đã duyệt]</t>
  </si>
  <si>
    <t>1) Quan sát cột [Thao tác] của hồ sơ [Đã duyệt]</t>
  </si>
  <si>
    <t>- Không hiển thị thao tác chỉnh sửa (hoặc thao tác bị disable) đối với hồ sơ không ở trạng thái [Chờ duyệt]</t>
  </si>
  <si>
    <t>Duyệt/ Từ chối hồ sơ</t>
  </si>
  <si>
    <t>TC_067</t>
  </si>
  <si>
    <t>Kiểm tra hiển thị thao tác [Duyệt] với hồ sơ trạng thái [Chờ duyệt]</t>
  </si>
  <si>
    <t>Admin đã đăng nhập và đang ở màn hình [Danh sách hồ sơ], có hồ sơ trạng thái [Chờ duyệt]</t>
  </si>
  <si>
    <t>1) Quan sát cột [Thao tác] của hồ sơ [Chờ duyệt]</t>
  </si>
  <si>
    <t>- Hiển thị thao tác [Duyệt]</t>
  </si>
  <si>
    <t>TC_068</t>
  </si>
  <si>
    <t>Kiểm tra hiển thị thao tác [Từ chối] với hồ sơ trạng thái [Chờ duyệt]</t>
  </si>
  <si>
    <t>- Hiển thị thao tác [Từ chối]</t>
  </si>
  <si>
    <t>TC_069</t>
  </si>
  <si>
    <t>Kiểm tra không hiển thị thao tác [Duyệt/Từ chối] với hồ sơ không ở trạng thái [Chờ duyệt]</t>
  </si>
  <si>
    <t>Admin đã đăng nhập và đang ở màn hình [Danh sách hồ sơ], có hồ sơ trạng thái khác [Chờ duyệt]</t>
  </si>
  <si>
    <t>1) Quan sát cột [Thao tác]</t>
  </si>
  <si>
    <t>- Không hiển thị thao tác [Duyệt]
- Không hiển thị thao tác [Từ chối]</t>
  </si>
  <si>
    <t>TC_070</t>
  </si>
  <si>
    <t>Kiểm tra mở popup khi bấm thao tác [Duyệt]</t>
  </si>
  <si>
    <t>Admin đang ở màn hình [Danh sách hồ sơ], có hồ sơ [Chờ duyệt]</t>
  </si>
  <si>
    <t>1) Bấm thao tác [Duyệt]</t>
  </si>
  <si>
    <t>- Hiển thị popup xác nhận [Duyệt hồ sơ]</t>
  </si>
  <si>
    <t>TC_071</t>
  </si>
  <si>
    <t>Kiểm tra duyệt hồ sơ thành công</t>
  </si>
  <si>
    <t>Admin đang mở popup [Duyệt hồ sơ]</t>
  </si>
  <si>
    <t>- Hồ sơ được duyệt thành công
- Trạng thái hồ sơ chuyển sang [Đã duyệt]
- Popup được đóng</t>
  </si>
  <si>
    <t>TC_073</t>
  </si>
  <si>
    <t>Kiểm tra mở popup khi bấm thao tác [Từ chối]</t>
  </si>
  <si>
    <t>1) Bấm thao tác [Từ chối]</t>
  </si>
  <si>
    <t>- Hiển thị popup [Từ chối hồ sơ]
- Có field[Lý do từ chối]</t>
  </si>
  <si>
    <t>TC_074</t>
  </si>
  <si>
    <t>Kiểm tra validate bắt buộc field [Lý do từ chối]</t>
  </si>
  <si>
    <t>Admin đang mở popup [Từ chối hồ sơ]</t>
  </si>
  <si>
    <t>1) Để trống field[Lý do từ chối]
2) Bấm button[Đồng ý]</t>
  </si>
  <si>
    <t>- Hiển thị thông báo lỗi yêu cầu nhập [Lý do từ chối]
- Không thực hiện từ chối</t>
  </si>
  <si>
    <t>TC_075</t>
  </si>
  <si>
    <t>Kiểm tra từ chối hồ sơ thành công</t>
  </si>
  <si>
    <t>1) Nhập giá trị vào field[Lý do từ chối]
2) Bấm button[Đồng ý]</t>
  </si>
  <si>
    <t>- Hồ sơ bị từ chối thành công
- Trạng thái hồ sơ chuyển sang [Từ chối]
- Popup được đóng</t>
  </si>
  <si>
    <t>Xóa hồ sơ</t>
  </si>
  <si>
    <t>TC_081</t>
  </si>
  <si>
    <t>Kiểm tra hiển thị thao tác [Xóa] với hồ sơ trạng thái [Từ chối]</t>
  </si>
  <si>
    <t>User có quyền quản lý hồ sơ đã đăng nhập và đang ở màn hình [Danh sách hồ sơ], có hồ sơ trạng thái [Từ chối]</t>
  </si>
  <si>
    <t>1) Truy cập màn hình [Danh sách hồ sơ] 
2) Tìm hồ sơ có [Trạng thái] = [Từ chối] 
3) Quan sát cột [Thao tác]</t>
  </si>
  <si>
    <t>- Hiển thị thao tác [Xóa] tại dòng hồ sơ có [Trạng thái] = [Từ chối]</t>
  </si>
  <si>
    <t>TC_083</t>
  </si>
  <si>
    <t>Kiểm tra hiển thị popup xác nhận khi thực hiện thao tác [Xóa]</t>
  </si>
  <si>
    <t>User đang ở màn hình [Danh sách hồ sơ], có hồ sơ [Từ chối]</t>
  </si>
  <si>
    <t>1) Tại hồ sơ [Từ chối], bấm thao tác [Xóa]</t>
  </si>
  <si>
    <t>- Hiển thị popup xác nhận [Xóa hồ sơ]</t>
  </si>
  <si>
    <t>TC_084</t>
  </si>
  <si>
    <t>Popup [Xóa hồ sơ] đang hiển thị</t>
  </si>
  <si>
    <t>- Xóa hồ sơ thành công 
- Hồ sơ bị ẩn khỏi danh sách 
- Không hiển thị trạng thái trung gian</t>
  </si>
  <si>
    <t>TC_085</t>
  </si>
  <si>
    <t>- Popup được đóng 
- Hồ sơ vẫn hiển thị trên danh sách 
- Không có thay đổi dữ liệu</t>
  </si>
  <si>
    <t>TC_086</t>
  </si>
  <si>
    <t>Kiểm tra sau khi xóa không hiển thị trạng thái [Chờ xóa hồ sơ]</t>
  </si>
  <si>
    <t>Có hồ sơ [Từ chối] để thực hiện thao tác xóa</t>
  </si>
  <si>
    <t>1) Thực hiện xóa hồ sơ thành công 
2) Quan sát danh sách hồ sơ</t>
  </si>
  <si>
    <t>- Không xuất hiện trạng thái [Chờ xóa hồ sơ] 
- Hồ sơ đã xóa không còn hiển thị trong danh sách</t>
  </si>
  <si>
    <t>Tạo phụ lục hợp đồng</t>
  </si>
  <si>
    <t>TC_087</t>
  </si>
  <si>
    <t>Kiểm tra điều hướng mở popup từ màn hình [Danh sách hồ sơ]</t>
  </si>
  <si>
    <t>Admin đã đăng nhập CMS Digital Market
Đang ở màn hình [Danh sách hồ sơ]</t>
  </si>
  <si>
    <t>1) Click button [Tạo phụ lục hợp đồng]</t>
  </si>
  <si>
    <t>- Hiển thị popup [Tạo phụ lục hợp đồng]</t>
  </si>
  <si>
    <t>TC_090</t>
  </si>
  <si>
    <t>Kiểm tra hiển thị trường [Tên CP] trên màn hình [Tạo phụ lục hợp đồng]</t>
  </si>
  <si>
    <t>Admin đã mở màn hình [Tạo phụ lục hợp đồng]</t>
  </si>
  <si>
    <t>1) Quan sát trường [Tên CP]</t>
  </si>
  <si>
    <t>- Trường [Tên CP] hiển thị dạng dropdown</t>
  </si>
  <si>
    <t>TC_091</t>
  </si>
  <si>
    <t>Kiểm tra tìm kiếm trên dropdown [Tên CP]</t>
  </si>
  <si>
    <t>Admin đã mở popup [Tạo phụ lục hợp đồng]
Có ít nhất 2 CP đang hoạt động</t>
  </si>
  <si>
    <t>1) Click dropdown [Tên CP]
2) Nhập từ khóa tìm kiếm tên CP
3) Chọn 1 giá trị trong danh sách</t>
  </si>
  <si>
    <t>- Dropdown [Tên CP] cho phép tìm kiếm theo tên CP (chọn hoặc nhập text)
- Danh sách trả về chỉ gồm CP đang hoạt động
- Cho phép chọn đúng 1 giá trị</t>
  </si>
  <si>
    <t>TC_092</t>
  </si>
  <si>
    <t>Kiểm tra sắp xếp danh sách dropdown [Tên CP]</t>
  </si>
  <si>
    <t>Admin đã mở popup [Tạo phụ lục hợp đồng]
Có nhiều CP đang hoạt động</t>
  </si>
  <si>
    <t>1) Click dropdown [Tên CP]</t>
  </si>
  <si>
    <t>- Danh sách [Tên CP] được sắp xếp theo thứ tự A-Z</t>
  </si>
  <si>
    <t>TC_093</t>
  </si>
  <si>
    <t>Kiểm tra giá trị mặc định của dropdown [Tên CP] khi không chọn</t>
  </si>
  <si>
    <t>Admin đã mở popup [Tạo phụ lục hợp đồng]</t>
  </si>
  <si>
    <t>1) Không chọn giá trị trong [Tên CP]</t>
  </si>
  <si>
    <t>- [Tên CP] mặc định để trống
- Trạng thái để trống tương đương chọn ALL</t>
  </si>
  <si>
    <t>TC_094</t>
  </si>
  <si>
    <t>Kiểm tra hiển thị trường [Mã CP] trên popup [Tạo phụ lục hợp đồng]</t>
  </si>
  <si>
    <t>1) Quan sát trường [Mã CP]</t>
  </si>
  <si>
    <t>- Trường [Mã CP] hiển thị dạng dropdown</t>
  </si>
  <si>
    <t>TC_095</t>
  </si>
  <si>
    <t>Kiểm tra tìm kiếm trên dropdown [Mã CP]</t>
  </si>
  <si>
    <t>1) Click dropdown [Mã CP]
2) Nhập từ khóa tìm kiếm mã CP
3) Chọn 1 giá trị trong danh sách</t>
  </si>
  <si>
    <t>- Dropdown [Mã CP] cho phép tìm kiếm theo mã CP (chọn hoặc nhập text)
- Danh sách trả về chỉ gồm CP đang hoạt động
- Cho phép chọn đúng 1 giá trị</t>
  </si>
  <si>
    <t>TC_096</t>
  </si>
  <si>
    <t>Kiểm tra sắp xếp danh sách dropdown [Mã CP]</t>
  </si>
  <si>
    <t>1) Click dropdown [Mã CP]</t>
  </si>
  <si>
    <t>- Danh sách [Mã CP] được sắp xếp theo thứ tự A-Z</t>
  </si>
  <si>
    <t>TC_097</t>
  </si>
  <si>
    <t>Kiểm tra giá trị mặc định của dropdown [Mã CP] khi không chọn</t>
  </si>
  <si>
    <t>1) Không chọn giá trị trong [Mã CP]</t>
  </si>
  <si>
    <t>- [Mã CP] mặc định để trống
- Trạng thái để trống tương đương chọn ALL</t>
  </si>
  <si>
    <t>TC_098</t>
  </si>
  <si>
    <t>Kiểm tra đồng bộ [Tên CP] tự hiển thị theo [Mã CP] đã chọn</t>
  </si>
  <si>
    <t>Admin đã mở popup [Tạo phụ lục hợp đồng]
Có dữ liệu CP hợp lệ</t>
  </si>
  <si>
    <t>1) Chọn 1 giá trị tại dropdown [Mã CP]</t>
  </si>
  <si>
    <t>- Trường [Tên CP] tự động hiển thị đúng theo [Mã CP] đã chọn</t>
  </si>
  <si>
    <t>TC_099</t>
  </si>
  <si>
    <t>Kiểm tra đồng bộ [Mã CP] tự hiển thị theo [Tên CP] đã chọn</t>
  </si>
  <si>
    <t>1) Chọn 1 giá trị tại dropdown [Tên CP]</t>
  </si>
  <si>
    <t>- Trường [Mã CP] tự động hiển thị đúng theo [Tên CP] đã chọn</t>
  </si>
  <si>
    <t>TC_100</t>
  </si>
  <si>
    <t>Kiểm tra hiển thị trường [Trạng thái sản phẩm] trên popup [Tạo phụ lục hợp đồng]</t>
  </si>
  <si>
    <t>1) Quan sát trường [Trạng thái sản phẩm]</t>
  </si>
  <si>
    <t>- Trường [Trạng thái sản phẩm] hiển thị dạng droplist</t>
  </si>
  <si>
    <t>TC_101</t>
  </si>
  <si>
    <t>Kiểm tra lọc theo [Trạng thái sản phẩm] khi có chọn</t>
  </si>
  <si>
    <t>Admin đã mở popup [Tạo phụ lục hợp đồng]
CP có sản phẩm ở nhiều trạng thái</t>
  </si>
  <si>
    <t>1) Chọn 1 giá trị trong [Trạng thái sản phẩm]
2) Quan sát [Bảng danh sách sản phẩm]</t>
  </si>
  <si>
    <t>- [Bảng danh sách sản phẩm] chỉ hiển thị các sản phẩm đúng theo trạng thái đã chọn</t>
  </si>
  <si>
    <t>TC_102</t>
  </si>
  <si>
    <t>Kiểm tra lọc theo [Trạng thái sản phẩm] khi không chọn</t>
  </si>
  <si>
    <t>Admin đã mở popup [Tạo phụ lục hợp đồng]
CP có nhiều sản phẩm</t>
  </si>
  <si>
    <t>1) Không chọn giá trị trong [Trạng thái sản phẩm]
2) Quan sát [Bảng danh sách sản phẩm]</t>
  </si>
  <si>
    <t>- Không chọn [Trạng thái sản phẩm] tương đương tất cả
- [Bảng danh sách sản phẩm] hiển thị tất cả sản phẩm theo điều kiện lọc khác (nếu có)</t>
  </si>
  <si>
    <t>TC_103</t>
  </si>
  <si>
    <t>Kiểm tra hiển thị cột của [Bảng danh sách sản phẩm]</t>
  </si>
  <si>
    <t>1) Quan sát header [Bảng danh sách sản phẩm]</t>
  </si>
  <si>
    <t>- Bảng hiển thị các cột: [STT], [Tên sp], [Mã sp], [Trạng thái sp], [Thao tác] (tick chọn 1 hoặc All sản phẩm)</t>
  </si>
  <si>
    <t>TC_104</t>
  </si>
  <si>
    <t>Kiểm tra tick chọn 1 sản phẩm tại [Bảng danh sách sản phẩm]</t>
  </si>
  <si>
    <t>Admin đã mở popup [Tạo phụ lục hợp đồng]
Bảng có ít nhất 2 sản phẩm</t>
  </si>
  <si>
    <t>1) Tick chọn 1 dòng sản phẩm trong cột [Thao tác]</t>
  </si>
  <si>
    <t>- Sản phẩm được tick chọn thành công
- Trạng thái tick được lưu đúng trên UI</t>
  </si>
  <si>
    <t>TC_105</t>
  </si>
  <si>
    <t>Kiểm tra tick chọn All sản phẩm tại [Bảng danh sách sản phẩm]</t>
  </si>
  <si>
    <t>1) Tick chọn All tại cột [Thao tác]</t>
  </si>
  <si>
    <t>- Tất cả sản phẩm trong danh sách hiện tại được tick chọn</t>
  </si>
  <si>
    <t>TC_106</t>
  </si>
  <si>
    <t>Kiểm tra bỏ tick chọn All sản phẩm tại [Bảng danh sách sản phẩm]</t>
  </si>
  <si>
    <t>Admin đã mở popup [Tạo phụ lục hợp đồng]
Đang ở trạng thái đã tick All</t>
  </si>
  <si>
    <t>1) Bỏ tick All</t>
  </si>
  <si>
    <t>- Tất cả sản phẩm trong danh sách hiện tại được bỏ tick</t>
  </si>
  <si>
    <t>TC_107</t>
  </si>
  <si>
    <t>Kiểm tra tải file khi click button [Tải file phụ lục hợp đồng]</t>
  </si>
  <si>
    <t>Admin đã mở popup [Tạo phụ lục hợp đồng]
Có ít nhất 1 sản phẩm hiển thị trong bảng</t>
  </si>
  <si>
    <t>1) Click button [Tải file phụ lục hợp đồng]</t>
  </si>
  <si>
    <t>- File phụ lục hợp đồng được tải về dạng Excel</t>
  </si>
  <si>
    <t>TC_108</t>
  </si>
  <si>
    <t>Kiểm tra nội dung cột trong file Excel tải về từ button [Tải file phụ lục hợp đồng]</t>
  </si>
  <si>
    <t>Admin đã tải file Excel phụ lục hợp đồng thành công</t>
  </si>
  <si>
    <t>1) Mở file Excel vừa tải</t>
  </si>
  <si>
    <t>- File Excel có các cột thông tin: [STT], [Tên sp], [Mã sp], [Tên CP], [Mã CP], [Loại hình sản phẩm], [API tích hợp], [Trạng thái sản phẩm]</t>
  </si>
  <si>
    <t>TC_109</t>
  </si>
  <si>
    <t>Kiểm tra refresh trang khi đang mở popup [Tạo phụ lục hợp đồng]</t>
  </si>
  <si>
    <t>1) Refresh trình duyệt</t>
  </si>
  <si>
    <t>- Popup bị đóng sau refresh
- Trạng thái lựa chọn/tick (nếu có) không còn (theo hành vi chuẩn sau refresh)</t>
  </si>
  <si>
    <t xml:space="preserve">Quản lý đối tác </t>
  </si>
  <si>
    <t xml:space="preserve">Xem danh sách đối tác </t>
  </si>
  <si>
    <t>TC_110</t>
  </si>
  <si>
    <t xml:space="preserve">Kiểm tra giao diện hiển thị quản lý đối tác </t>
  </si>
  <si>
    <t>User (Admin/PM) đã đăng nhập CMS Digital Market và được cấp quyền [Quản lý đối tác ]</t>
  </si>
  <si>
    <t xml:space="preserve">1, Vào quản lý đối tác 
2, Kiểm tra hiển thị giao diện </t>
  </si>
  <si>
    <t>Hiển thị danh sách đối tác, chức năng tìm kiếm</t>
  </si>
  <si>
    <t>TC_111</t>
  </si>
  <si>
    <t xml:space="preserve">Kiểm tra hiển thị dữ liệu mặc định khi mở màn hình quản lý đối tác </t>
  </si>
  <si>
    <t xml:space="preserve">1, Vào quản lý đối tác 
2, Kiểm tra dữ liệu đối tác </t>
  </si>
  <si>
    <t>- Hệ thống tự động load quản lý đối tác (không cần bấm button[Tìm kiếm]) 
- Hiển thị tất cả đối tác (không ẩn trạng thái nào)</t>
  </si>
  <si>
    <t>Hiển thị tất cả đối tác (không ẩn trạng thái nào)</t>
  </si>
  <si>
    <t>TC_112</t>
  </si>
  <si>
    <t xml:space="preserve">Kiểm tra thứ tự sắp xếp hiển thị danh sách đối tác </t>
  </si>
  <si>
    <t>Có tối thiểu 3 hồ sơ với thời gian tạo khác nhau</t>
  </si>
  <si>
    <t xml:space="preserve">1, Vào quản lý đối tác 
2, Kiểm tra thứ tự hiển thị dữ liệu đối tác </t>
  </si>
  <si>
    <t xml:space="preserve">- Danh sách được sắp xếp theo thời gian tạo mới nhất lên đầu -&gt; cũ </t>
  </si>
  <si>
    <t>Hiển thị danh sách đối tác mới nhất lên đầu -&gt; cũ</t>
  </si>
  <si>
    <t>TC_113</t>
  </si>
  <si>
    <t>Kiểm tra phân trang</t>
  </si>
  <si>
    <t xml:space="preserve">1, Vào quản lý đối tác 
2, Kiểm tra phân trang </t>
  </si>
  <si>
    <t xml:space="preserve">Có phân trang </t>
  </si>
  <si>
    <t>TC_114</t>
  </si>
  <si>
    <t xml:space="preserve">Kiểm tra giới hạn bản ghi phân trang </t>
  </si>
  <si>
    <t xml:space="preserve">10 bản ghi/ trang </t>
  </si>
  <si>
    <t>TC_115</t>
  </si>
  <si>
    <t>TC_116</t>
  </si>
  <si>
    <t xml:space="preserve">Kiểm tra giới hạn số trang phân trang </t>
  </si>
  <si>
    <t>TC_117</t>
  </si>
  <si>
    <t xml:space="preserve">Kiểm tra hiển thị các cột trên bảng danh sách đối tác </t>
  </si>
  <si>
    <t xml:space="preserve">Đang ở màn hình danh sách đối tác </t>
  </si>
  <si>
    <t>- Bảng hiển thị đầy đủ các cột theo SRS gồm;
Mã đối tác, Tên đối tác, Số điện thoại, Trạng thái, Chức năng (Icon chức năng)</t>
  </si>
  <si>
    <t>Hiển thị Mã đối tác, Tên đối tác, Mã số thuế, Số điện thoại, Trạng thái, Chức năng (Icon chức năng)</t>
  </si>
  <si>
    <t>TC_118</t>
  </si>
  <si>
    <t>Kiểm tra các chức năng (icon chức năng)</t>
  </si>
  <si>
    <t xml:space="preserve">1) Quan sát cột thao tac </t>
  </si>
  <si>
    <t>Gồm các chức năng:
- Xem chi tiết
- Sửa thông tin
- Xóa
- Tạm dừng/Kích hoạt</t>
  </si>
  <si>
    <t>TC_119</t>
  </si>
  <si>
    <t xml:space="preserve">Kiểm tra button Thêm mới </t>
  </si>
  <si>
    <t xml:space="preserve">1, Nhấn button Thêm mới </t>
  </si>
  <si>
    <t xml:space="preserve">Hiển thị màn thêm mới đối tác </t>
  </si>
  <si>
    <t>TC_120</t>
  </si>
  <si>
    <t xml:space="preserve">Kiểm tra icon Xem chi tiết </t>
  </si>
  <si>
    <t xml:space="preserve">1, Nhấn icon Xem chi tiết ở cột thao tác </t>
  </si>
  <si>
    <t xml:space="preserve">Hiển thị màn thông tin chi tiết đối tác </t>
  </si>
  <si>
    <t>TC_121</t>
  </si>
  <si>
    <t xml:space="preserve">Kiểm tra icon Sửa thông tin </t>
  </si>
  <si>
    <t xml:space="preserve">1, Nhấn icon Sửa thông tin  ở cột thao tác </t>
  </si>
  <si>
    <t xml:space="preserve">Hiển thị màn cập nhật thông tin đối tác </t>
  </si>
  <si>
    <t>TC_122</t>
  </si>
  <si>
    <t>Kiểm tra icon Xóa</t>
  </si>
  <si>
    <t xml:space="preserve">1, Nhấn icon xóa 1 đối tác ở cột thao tác </t>
  </si>
  <si>
    <t xml:space="preserve">Cho phép xóa đối tác </t>
  </si>
  <si>
    <t>TC_123</t>
  </si>
  <si>
    <t>Kiểm tra icon Khóa</t>
  </si>
  <si>
    <t xml:space="preserve">1, Nhấn icon khóa 1 đối tác ở cột thao tác </t>
  </si>
  <si>
    <t xml:space="preserve">Cho phép Tạm dừng/Kích hoạt đối tác </t>
  </si>
  <si>
    <t>TC_124</t>
  </si>
  <si>
    <t xml:space="preserve">Kiểm tra tiêu chí tìm kiếm </t>
  </si>
  <si>
    <t xml:space="preserve">1) Quan sát khu vực tìm kiếm </t>
  </si>
  <si>
    <t>Gồm các tiêu chí tìm kiếm theo;
Mã đối tác: mặc định null
Tên đối tác: mặc định null
Nút tìm kiếm(enable)</t>
  </si>
  <si>
    <t>Gồm các tiêu chí tìm kiếm theo;
Mã đối tác: mặc định null
Tên đối tác: mặc định null
Số điện thoại: mặc định null 
Nút tìm kiếm(enable)</t>
  </si>
  <si>
    <t>TC_125</t>
  </si>
  <si>
    <t>Kiểm tra tìm kiếm theo Mã đối tác</t>
  </si>
  <si>
    <t>Mã đối tác chứa chuỗi “ABC”</t>
  </si>
  <si>
    <t>1) Nhập “ABC” vào trường Mã đối tác 
2) Bấm button[Tìm kiếm]</t>
  </si>
  <si>
    <t>- Danh sách trả về danh sách các đối tác có Mã đối tác chứa “ABC”</t>
  </si>
  <si>
    <t>TC_126</t>
  </si>
  <si>
    <t>Kiểm tra tìm kiếm theo Mã đối tác không phân biệt hoa/thường</t>
  </si>
  <si>
    <t>Mã đối tác chứa chuỗi “abc”</t>
  </si>
  <si>
    <t>1) Nhập “abc” vào trường Mã đối tác 
2) Bấm button[Tìm kiếm]</t>
  </si>
  <si>
    <t>- Kết quả tìm kiếm vẫn trả về danh sách các đối tác tương tự khi nhập ABC
- Tìm kiếm không phân biệt hoa/thường</t>
  </si>
  <si>
    <t>TC_127</t>
  </si>
  <si>
    <t>Kiểm tra tìm kiếm theo Mã đối tác khi không có kết quả</t>
  </si>
  <si>
    <t>1) Nhập chuỗi không tồn tại trong Mã đối tác vào trường Mã đối tác
2) Bấm button[Tìm kiếm]</t>
  </si>
  <si>
    <t>- Bảng kết quả không có bản ghi phù hợp 
- Hiển thị thông báo “Không có kết quả tìm kiếm” (theo UI hệ thống)</t>
  </si>
  <si>
    <t>TC_128</t>
  </si>
  <si>
    <t>Kiểm tra tìm kiếm khi để trống Mã đối tác</t>
  </si>
  <si>
    <t>1) Xóa trống trường Mã đối tác 
2) Bấm button[Tìm kiếm]</t>
  </si>
  <si>
    <t>TC_129</t>
  </si>
  <si>
    <t>Kiểm tra tìm kiếm theo Tên đối tác</t>
  </si>
  <si>
    <t>Tên đối tác chứa chuỗi “ABC”</t>
  </si>
  <si>
    <t>1) Nhập “ABC” vào trường Tên đối tác 
2) Bấm button[Tìm kiếm]</t>
  </si>
  <si>
    <t>- Danh sách trả về danh sách các đối tác có Tên đối tác chứa “ABC”</t>
  </si>
  <si>
    <t>TC_130</t>
  </si>
  <si>
    <t>Kiểm tra tìm kiếm theo Tên đối tác không phân biệt hoa/thường</t>
  </si>
  <si>
    <t>Tên đối tác chứa chuỗi “abc”</t>
  </si>
  <si>
    <t>1) Nhập “abc” vào trường Tên đối tác 
2) Bấm button[Tìm kiếm]</t>
  </si>
  <si>
    <t>TC_131</t>
  </si>
  <si>
    <t>Kiểm tra tìm kiếm theo Tên đối tác khi không có kết quả</t>
  </si>
  <si>
    <t>1) Nhập chuỗi không tồn tại trong Tên đối tác vào trường Tên đối tác
2) Bấm button[Tìm kiếm]</t>
  </si>
  <si>
    <t>TC_132</t>
  </si>
  <si>
    <t>Kiểm tra tìm kiếm khi để trống Tên đối tác</t>
  </si>
  <si>
    <t>1) Xóa trống trường Tên đối tác 
2) Bấm button[Tìm kiếm]</t>
  </si>
  <si>
    <t>TC_133</t>
  </si>
  <si>
    <t>- Droplist field[Trạng thái] hiển thị đúng 3 giá trị: [Tất cả], [Tạm dừng], [Hoạt động]</t>
  </si>
  <si>
    <t>TC_134</t>
  </si>
  <si>
    <t xml:space="preserve">1, Đang ở màn hình danh sách đối tác </t>
  </si>
  <si>
    <t>TC_135</t>
  </si>
  <si>
    <t>Kiểm tra lọc theo trạng thái [Tạm dừng]</t>
  </si>
  <si>
    <t>TC_136</t>
  </si>
  <si>
    <t>Kiểm tra lọc theo trạng thái [Hoạt động ]</t>
  </si>
  <si>
    <t>TC_137</t>
  </si>
  <si>
    <t>TC_138</t>
  </si>
  <si>
    <t>Kiểm tra tìm kiếm theo Số điện thoại</t>
  </si>
  <si>
    <t>Số điện thoại chứa chuỗi “123”</t>
  </si>
  <si>
    <t>1) Nhập “123” vào trường Số điện thoại 
2) Bấm button[Tìm kiếm]</t>
  </si>
  <si>
    <t>- Danh sách trả về danh sách các đối tác có Số điện thoại chứa “ABC”</t>
  </si>
  <si>
    <t>TC_139</t>
  </si>
  <si>
    <t>Kiểm tra tìm kiếm theo Số điện thoại khi không có kết quả</t>
  </si>
  <si>
    <t>1) Nhập Số điện thoại của đối tác không tồn tại trên hệ thống vào trường Số điện thoại
2) Bấm button[Tìm kiếm]</t>
  </si>
  <si>
    <t>TC_140</t>
  </si>
  <si>
    <t>Kiểm tra tìm kiếm khi để trống Số điện thoại</t>
  </si>
  <si>
    <t>1) Xóa trống trường Số điện thoại 
2) Bấm button[Tìm kiếm]</t>
  </si>
  <si>
    <t>TC_141</t>
  </si>
  <si>
    <t>Kiểm tra tìm kiếm kết hợp [Mã đối tác] + [Tên đối tác]</t>
  </si>
  <si>
    <t>1) Nhập “ABC” vào Mã đối tác
2) Nhập “XYZ” vào Tên đối tác 
3) Bấm button[Tìm kiếm]</t>
  </si>
  <si>
    <t>- Kết quả chỉ gồm hồ sơ có Mã đối tác chứa “ABC” 
- Và có Tên đối tác  chứa  XYZ</t>
  </si>
  <si>
    <t>TC_142</t>
  </si>
  <si>
    <t>Kiểm tra tìm kiếm kết hợp [Mã đối tác] + [SDT]</t>
  </si>
  <si>
    <t>1) Nhập “ABC” vào Mã đối tác
2) Nhập “123” vào SDT
3) Bấm button[Tìm kiếm]</t>
  </si>
  <si>
    <t>- Kết quả chỉ gồm hồ sơ có Mã đối tác chứa “ABC” 
- Và có SDT chứa 123</t>
  </si>
  <si>
    <t>TC_143</t>
  </si>
  <si>
    <t>Kiểm tra tìm kiếm kết hợp [Mã đối tác] + [Trạng thái]</t>
  </si>
  <si>
    <t>1) Nhập “ABC” vào Mã đối tác
2) Chọn [Chờ duyệt] tại field[Trạng thái] 
3) Bấm button[Tìm kiếm]</t>
  </si>
  <si>
    <t>- Kết quả chỉ gồm hồ sơ có Mã đối tác chứa “ABC” 
- Và có Trạng thái = chờ duyệt</t>
  </si>
  <si>
    <t>TC_144</t>
  </si>
  <si>
    <t>Kiểm tra tìm kiếm kết hợp [Tên đối tác] + [SDT]</t>
  </si>
  <si>
    <t>1) Nhập “ABC” vào Tên đối tác
2) Nhập “123” vào SDT
3) Bấm button[Tìm kiếm]</t>
  </si>
  <si>
    <t>- Kết quả chỉ gồm hồ sơ có tên đối tác chứa “ABC” 
- Và có SDT chứa 123</t>
  </si>
  <si>
    <t>TC_145</t>
  </si>
  <si>
    <t>Kiểm tra tìm kiếm kết hợp [Tên đối tác] + [Trạng thái]</t>
  </si>
  <si>
    <t>1) Nhập “ABC” vào Tên đối tác
2) Chọn [Chờ duyệt] tại field[Trạng thái] 
3) Bấm button[Tìm kiếm]</t>
  </si>
  <si>
    <t>- Kết quả chỉ gồm hồ sơ có Tên đối tác chứa “ABC” 
- Và có Trạng thái = chờ duyệt</t>
  </si>
  <si>
    <t>TC_146</t>
  </si>
  <si>
    <t>Kiểm tra tìm kiếm kết hợp [SDT] + [Trạng thái]</t>
  </si>
  <si>
    <t>1) Nhập “123” vào SDT
2) Chọn [Chờ duyệt] tại field[Trạng thái] 
3) Bấm button[Tìm kiếm]</t>
  </si>
  <si>
    <t>- Kết quả chỉ gồm hồ sơ có SDT chứa “123” 
- Và có Trạng thái = chờ duyệt</t>
  </si>
  <si>
    <t>TC_147</t>
  </si>
  <si>
    <t>Kiểm tra tìm kiếm kết hợp [Mã đối tác] + [Tên đối tác] + [SDT]</t>
  </si>
  <si>
    <t>1) Nhập “ABC” vào Mã đối tác
2) Nhập “XYZ” vào Tên đối tác
3) Nhập “123” vào SDT
4) Bấm button[Tìm kiếm]</t>
  </si>
  <si>
    <t>- Kết quả chỉ gồm hồ sơ có Mã đối tác chứa “ABC” 
- Và có Tên đối tác chứa "XYZ"
- Và có SDT chứa "123"</t>
  </si>
  <si>
    <t>TC_148</t>
  </si>
  <si>
    <t>Kiểm tra tìm kiếm kết hợp [Mã đối tác] + [Tên đối tác] + [Trạng thái]</t>
  </si>
  <si>
    <t>1) Nhập “ABC” vào Mã đối tác
2) Nhập “XYZ” vào Tên đối tác
3) Chọn [Chờ duyệt] tại field[Trạng thái]
4) Bấm button[Tìm kiếm]</t>
  </si>
  <si>
    <t>- Kết quả chỉ gồm hồ sơ có Mã đối tác chứa “ABC” 
- Và có Tên đối tác chứa "XYZ"
- Và có Trạng thái = Chờ duyệt</t>
  </si>
  <si>
    <t>TC_149</t>
  </si>
  <si>
    <t>Kiểm tra tìm kiếm kết hợp [SDT] + [Tên đối tác] + [Trạng thái]</t>
  </si>
  <si>
    <t>1) Nhập “123” vào SDT
2) Nhập “XYZ” vào Tên đối tác
3) Chọn [Chờ duyệt] tại field[Trạng thái]
4) Bấm button[Tìm kiếm]</t>
  </si>
  <si>
    <t>- Kết quả chỉ gồm hồ sơ có SDT chứa “123” 
- Và có Tên đối tác chứa "XYZ"
- Và có Trạng thái = Chờ duyệt</t>
  </si>
  <si>
    <t>TC_150</t>
  </si>
  <si>
    <t xml:space="preserve">Kiểm tra tìm kiếm kết hợp khi không có kết quả </t>
  </si>
  <si>
    <t xml:space="preserve">Không có kết quả tìm kiếm </t>
  </si>
  <si>
    <t>1) Nhập các điều kiện tìm kiếm
2) Bấm button[Tìm kiếm]</t>
  </si>
  <si>
    <t>Hiển thị thông báo “Không có kết quả tìm kiếm”</t>
  </si>
  <si>
    <t>Hiển thị thông báo 'Không có dữ liệu'</t>
  </si>
  <si>
    <t>TC_151</t>
  </si>
  <si>
    <t>Kiểm tra Xuất excel khi không thực hiện tìm kiếm</t>
  </si>
  <si>
    <t xml:space="preserve">1, Tại màn danh sách đối tác, không thực hiện tìm kiếm
2, Nhấn xuât excel </t>
  </si>
  <si>
    <t>Xuất file excel thành công
Dữ liệu tất cả danh sách đối tác có trên hệ thống
Các trường xuất tương ứng các trường hiển thị trên màn hình</t>
  </si>
  <si>
    <t>TC_152</t>
  </si>
  <si>
    <t>Kiểm tra Xuất excel khi có thực hiện tìm kiếm</t>
  </si>
  <si>
    <t xml:space="preserve">1, Tại màn danh sách đối tác, thực hiện tìm kiếm đối tác 
2, Nhấn xuât excel </t>
  </si>
  <si>
    <t>Xuất file excel thành công
Dữ liệu danh sách đối tác theo kết quả tìm kiếm
Các trường xuất tương ứng các trường hiển thị trên màn hình</t>
  </si>
  <si>
    <t>TC_153</t>
  </si>
  <si>
    <t>Kiểm tra reset</t>
  </si>
  <si>
    <t>1, Tại màn danh sách đối tác, thực hiện tìm kiếm đối tác 
2, Nhấn Reset</t>
  </si>
  <si>
    <t>Xóa các từ khóa tìm kiếm đã nhập
Trả về danh sách mặc định tất cả đối tác</t>
  </si>
  <si>
    <t xml:space="preserve">Tạo mới đối tác </t>
  </si>
  <si>
    <t>TC_154</t>
  </si>
  <si>
    <t xml:space="preserve">Kiểm tra giao diện form thêm mới đối tác </t>
  </si>
  <si>
    <t xml:space="preserve">Đang ở màn thêm mới đối tác </t>
  </si>
  <si>
    <t xml:space="preserve">1, Quan sát giao diện màn thêm mới đối tác </t>
  </si>
  <si>
    <r>
      <rPr>
        <rFont val="Times New Roman"/>
        <color theme="1"/>
        <sz val="12.0"/>
      </rPr>
      <t xml:space="preserve">Giao diện gồm các thông tin:
</t>
    </r>
    <r>
      <rPr>
        <rFont val="Times New Roman"/>
        <b/>
        <color theme="1"/>
        <sz val="12.0"/>
      </rPr>
      <t>Thông tin đối tác:</t>
    </r>
    <r>
      <rPr>
        <rFont val="Times New Roman"/>
        <color theme="1"/>
        <sz val="12.0"/>
      </rPr>
      <t xml:space="preserve">
Tên đối tác (Textbox - đánh dấu * bắt buộc): null
Mã số thuế (Textbox - đánh dấu * bắt buộc): null
Mã hợp đồng (Textbox - đánh dấu * bắt buộc): null
Địa chỉ (Textbox - không đánh dấu * bắt buộc): null
Số GP ĐKKD (Textbox - đánh dấu * bắt buộc): null
Mã đối tác (Textbox - đánh dấu * bắt buộc): null
STK (Textbox): null
Tên ngân hàng theo hợp đồng(Textbox): null
Số điện thoại CSKH (Textbox): null
Email CSKH (Textbox): null
Giấy ủy quyền (Textbox): null
</t>
    </r>
    <r>
      <rPr>
        <rFont val="Times New Roman"/>
        <b/>
        <color theme="1"/>
        <sz val="12.0"/>
      </rPr>
      <t>Thông tin người đại diện:</t>
    </r>
    <r>
      <rPr>
        <rFont val="Times New Roman"/>
        <color theme="1"/>
        <sz val="12.0"/>
      </rPr>
      <t xml:space="preserve">
Họ và tên (Textbox): null
Số CMND/CCCD (Textbox): null
Số điện thoại (Textbox): null
Email (Textbox): null
Trạng thái (Combobox): mặc định Tạm dừng
</t>
    </r>
    <r>
      <rPr>
        <rFont val="Times New Roman"/>
        <b/>
        <color theme="1"/>
        <sz val="12.0"/>
      </rPr>
      <t xml:space="preserve">Thông tin tích hợp:
</t>
    </r>
    <r>
      <rPr>
        <rFont val="Times New Roman"/>
        <color theme="1"/>
        <sz val="12.0"/>
      </rPr>
      <t xml:space="preserve">URL API (Textbox): null
Secret key (Textbox): null
IP (Textbox): null
</t>
    </r>
    <r>
      <rPr>
        <rFont val="Times New Roman"/>
        <b/>
        <color theme="1"/>
        <sz val="12.0"/>
      </rPr>
      <t>Button</t>
    </r>
    <r>
      <rPr>
        <rFont val="Times New Roman"/>
        <color theme="1"/>
        <sz val="12.0"/>
      </rPr>
      <t xml:space="preserve">
Hủy (Button)
Lưu (Button)</t>
    </r>
  </si>
  <si>
    <t>TC_155</t>
  </si>
  <si>
    <t xml:space="preserve">Kiểm tra nhập đầy đủ các trường dữ liệu hợp lệ </t>
  </si>
  <si>
    <t xml:space="preserve">1, Nhập đầy đủ các trường dữ liệu hợp lệ
2, Nhấn Thêm mới </t>
  </si>
  <si>
    <t xml:space="preserve">Thêm mới đối tác thành công
Đối tác mới thêm hiển thị trong danh sách đối tác
Thông tin hiển thị đúng với thông tin đã nhập tạo </t>
  </si>
  <si>
    <t>Thông tin CP</t>
  </si>
  <si>
    <t>TC_156</t>
  </si>
  <si>
    <t xml:space="preserve">Kiểm tra trường tên đối tác bỏ trống </t>
  </si>
  <si>
    <t xml:space="preserve">1, Bỏ trống trường Tên đối tác
2, Các trường khác nhập đầy đủ dữ liệu hợp lệ
3, Nhấn Thêm mới </t>
  </si>
  <si>
    <t>Thêm mới đối tác không thành công
Hiển thị Mess lỗi: Tên đối tác không được để trống</t>
  </si>
  <si>
    <t>TC_157</t>
  </si>
  <si>
    <t>Kiểm tra nhập tên có dấu, không dấu</t>
  </si>
  <si>
    <t xml:space="preserve">1, Nhập Tên đối tác =ABC
2, Các trường khác nhập đầy đủ dữ liệu hợp lệ
3, Nhấn Thêm mới </t>
  </si>
  <si>
    <t>Thêm mới đối tác thành công
Tên đối tác cho phép có dấu, không dấu, không phân biệt hoa thường</t>
  </si>
  <si>
    <t>TC_158</t>
  </si>
  <si>
    <t>Kiểm tra trường tên đối tác tối đa ký tự &lt;=300 ký tự</t>
  </si>
  <si>
    <t xml:space="preserve">1, Nhập Tên đối tác &lt;=300 ký tự 
2, Các trường khác nhập đầy đủ dữ liệu hợp lệ
3, Nhấn Thêm mới </t>
  </si>
  <si>
    <t>Thêm mới đối tác thành công</t>
  </si>
  <si>
    <t xml:space="preserve">giới hạn 229 ký tự </t>
  </si>
  <si>
    <t>TC_159</t>
  </si>
  <si>
    <t>Kiểm tra trường tên đối tác tối đa ký tự &gt;300 ký tự</t>
  </si>
  <si>
    <t xml:space="preserve">1, Nhập Tên đối tác &gt; 300 ký tự 
2, Các trường khác nhập đầy đủ dữ liệu hợp lệ
3, Nhấn Thêm mới </t>
  </si>
  <si>
    <t>Thêm mới đối tác không thành công
Mess lỗi: Tên đối tác nhập tối đa 300 ký tự</t>
  </si>
  <si>
    <t>TC_160</t>
  </si>
  <si>
    <t xml:space="preserve">Kiểm tra trường tên đối tác nhập trùng tên đối tác đã tồn tại </t>
  </si>
  <si>
    <t>Đang ở màn thêm mới đối tác 
Hệ thống đã tồn tại tên đối tác 'ABC'</t>
  </si>
  <si>
    <t xml:space="preserve">1, Nhập Tên đối tác nhập trùng 'ABC'
2, Các trường khác nhập đầy đủ dữ liệu hợp lệ
3, Nhấn Thêm mới </t>
  </si>
  <si>
    <t>Thêm mới đối tác không thành công
Mess lỗi: Tên đối tác đã tồn tại</t>
  </si>
  <si>
    <t>Mess lỗi: Tên đối tác đã tồn tại</t>
  </si>
  <si>
    <t>TC_161</t>
  </si>
  <si>
    <t>Kiểm tra trường tên đối tác nhập ký tự khác chữ (số, ký tự đặc biệt)</t>
  </si>
  <si>
    <t xml:space="preserve">1, Nhập Tên đối tác chứa ký tự số hoặc ký tự đặc biệt 
2, Các trường khác nhập đầy đủ dữ liệu hợp lệ
3, Nhấn Thêm mới </t>
  </si>
  <si>
    <t>Cho phép nhập ký tự số và các ký tự đặc biệt
Thêm mới đối tác thành công</t>
  </si>
  <si>
    <t>TC_162</t>
  </si>
  <si>
    <t xml:space="preserve">Kiểm tra trường Mã số thuế bỏ trống </t>
  </si>
  <si>
    <t xml:space="preserve">1, Bỏ trống trường Mã số thuế
2, Các trường khác nhập đầy đủ dữ liệu hợp lệ
3, Nhấn Thêm mới </t>
  </si>
  <si>
    <t>Thêm mới đối tác không thành công
Hiển thị Mess lỗi: Mã số thuế không được để trống</t>
  </si>
  <si>
    <t>Mess lỗi: Mã số thuế không được để trống</t>
  </si>
  <si>
    <t>TC_163</t>
  </si>
  <si>
    <t>Kiểm tra trường Mã số thuế tối đa ký tự &lt;=20 ký tự</t>
  </si>
  <si>
    <t xml:space="preserve">1, Nhập Mã số thuế &lt;=20 ký tự 
2, Các trường khác nhập đầy đủ dữ liệu hợp lệ
3, Nhấn Thêm mới </t>
  </si>
  <si>
    <t>TC_164</t>
  </si>
  <si>
    <t>Kiểm tra trường Mã số thuế tối đa ký tự &gt;20 ký tự</t>
  </si>
  <si>
    <t xml:space="preserve">1, Nhập Mã số thuế &gt; 20 ký tự 
2, Các trường khác nhập đầy đủ dữ liệu hợp lệ
3, Nhấn Thêm mới </t>
  </si>
  <si>
    <t xml:space="preserve">Tự ngắt, không cho nhập thêm nữa 
Chỉ cho nhập tối đa 20 ký tự </t>
  </si>
  <si>
    <t>TC_165</t>
  </si>
  <si>
    <t xml:space="preserve">Kiểm tra trường Mã số thuế nhập trùng Mã số thuế đã tồn tại </t>
  </si>
  <si>
    <t>Đang ở màn thêm mới đối tác 
Hệ thống đã tồn tại Mã số thuế 'ABC'</t>
  </si>
  <si>
    <t xml:space="preserve">1, Nhập Mã số thuế nhập trùng 'ABC'
2, Các trường khác nhập đầy đủ dữ liệu hợp lệ
3, Nhấn Thêm mới </t>
  </si>
  <si>
    <t>Thêm mới đối tác thành công
(Cho phép trùng Mã số thuế)</t>
  </si>
  <si>
    <t>TC_166</t>
  </si>
  <si>
    <t>Kiểm tra trường Mã số thuế nhập ký tự khác số (chữ , ký tự đặc biệt)</t>
  </si>
  <si>
    <t xml:space="preserve">1, Nhập Mã số thuế chứa ký tự số hoặc ký tự đặc biệt 
2, Các trường khác nhập đầy đủ dữ liệu hợp lệ
3, Nhấn Thêm mới </t>
  </si>
  <si>
    <t xml:space="preserve">Không cho nhập ký tự khác số </t>
  </si>
  <si>
    <t>TC_167</t>
  </si>
  <si>
    <t xml:space="preserve">Kiểm tra trường Địa chỉ bỏ trống </t>
  </si>
  <si>
    <t xml:space="preserve">1, Bỏ trống trường Địa chỉ
2, Các trường khác nhập đầy đủ dữ liệu hợp lệ
3, Nhấn Thêm mới </t>
  </si>
  <si>
    <t>Thêm mới đối tác thành công
(Không bắt buộc nhập địa chỉ)</t>
  </si>
  <si>
    <t>TC_168</t>
  </si>
  <si>
    <t>Kiểm tra trường Địa chỉ tối đa ký tự &lt;=1000 ký tự</t>
  </si>
  <si>
    <t xml:space="preserve">1, Nhập Địa chỉ &lt;=1000 ký tự 
2, Các trường khác nhập đầy đủ dữ liệu hợp lệ
3, Nhấn Thêm mới </t>
  </si>
  <si>
    <t xml:space="preserve">giới hạn 999 ký tự </t>
  </si>
  <si>
    <t>TC_169</t>
  </si>
  <si>
    <t>Kiểm tra trường Địa chỉ tối đa ký tự &gt;1000 ký tự</t>
  </si>
  <si>
    <t xml:space="preserve">1, Nhập Địa chỉ &gt; 1000 ký tự 
2, Các trường khác nhập đầy đủ dữ liệu hợp lệ
3, Nhấn Thêm mới </t>
  </si>
  <si>
    <t>Tự ngắt, không cho nhập thêm nữa 
Mess lỗi: Địa chỉ nhập tối đa 1000 ký tự</t>
  </si>
  <si>
    <t>Tự động ngắt khi nhập đến ký tự 1000</t>
  </si>
  <si>
    <t>TC_170</t>
  </si>
  <si>
    <t xml:space="preserve">Kiểm tra trường Địa chỉ nhập trùng Địa chỉ đã tồn tại </t>
  </si>
  <si>
    <t>Đang ở màn thêm mới đối tác 
Hệ thống đã tồn tại Địa chỉ 'ABC'</t>
  </si>
  <si>
    <t xml:space="preserve">1, Nhập Địa chỉ nhập trùng 'ABC'
2, Các trường khác nhập đầy đủ dữ liệu hợp lệ
3, Nhấn Thêm mới </t>
  </si>
  <si>
    <t>Thêm mới đối tác thành công
(Cho phép trùng Địa chỉ)</t>
  </si>
  <si>
    <t>TC_171</t>
  </si>
  <si>
    <t>Kiểm tra trường Địa chỉ nhập ký tự khác chữ (số, ký tự đặc biệt)</t>
  </si>
  <si>
    <t xml:space="preserve">1, Nhập Địa chỉ chứa ký tự số hoặc ký tự đặc biệt 
2, Các trường khác nhập đầy đủ dữ liệu hợp lệ
3, Nhấn Thêm mới </t>
  </si>
  <si>
    <t>TC_172</t>
  </si>
  <si>
    <t xml:space="preserve">Kiểm tra trường Số GP ĐKKD bỏ trống </t>
  </si>
  <si>
    <t xml:space="preserve">1, Bỏ trống trường Số GP ĐKKD
2, Các trường khác nhập đầy đủ dữ liệu hợp lệ
3, Nhấn Thêm mới </t>
  </si>
  <si>
    <t>Thêm mới đối tác không thành công
Mess lỗi: Số GP ĐKKD không được để trống</t>
  </si>
  <si>
    <t>Mess lỗi: Số GP ĐKKD không được để trống</t>
  </si>
  <si>
    <t>TC_173</t>
  </si>
  <si>
    <t>Kiểm tra trường Số GP ĐKKD tối đa ký tự &lt;=100 ký tự</t>
  </si>
  <si>
    <t xml:space="preserve">1, Nhập Số GP ĐKKD &lt;=100 ký tự 
2, Các trường khác nhập đầy đủ dữ liệu hợp lệ
3, Nhấn Thêm mới </t>
  </si>
  <si>
    <t>TC_174</t>
  </si>
  <si>
    <t>Kiểm tra trường Số GP ĐKKD tối đa ký tự &gt;100 ký tự</t>
  </si>
  <si>
    <t xml:space="preserve">1, Nhập Số GP ĐKKD &gt; 100 ký tự 
2, Các trường khác nhập đầy đủ dữ liệu hợp lệ
3, Nhấn Thêm mới </t>
  </si>
  <si>
    <t>Tự ngắt, không cho nhập thêm nữa 
Mess lỗi: Mã ĐKKD nhập tối đa 100 ký tự</t>
  </si>
  <si>
    <t xml:space="preserve">Tự ngắt, không cho nhập thêm nữa </t>
  </si>
  <si>
    <t>TC_175</t>
  </si>
  <si>
    <t xml:space="preserve">Kiểm tra trường Số GP ĐKKD nhập trùng Số GP ĐKKD đã tồn tại </t>
  </si>
  <si>
    <t>Đang ở màn thêm mới đối tác 
Hệ thống đã tồn tại Số GP ĐKKD 'ABC'</t>
  </si>
  <si>
    <t xml:space="preserve">1, Nhập Số GP ĐKKD nhập trùng 'ABC'
2, Các trường khác nhập đầy đủ dữ liệu hợp lệ
3, Nhấn Thêm mới </t>
  </si>
  <si>
    <t>Thêm mới đối tác thành công
(Cho phép trùng Số GP ĐKKD)</t>
  </si>
  <si>
    <t>TC_176</t>
  </si>
  <si>
    <t>Kiểm tra trường Số GP ĐKKD nhập ký tự khác chữ (số, ký tự đặc biệt)</t>
  </si>
  <si>
    <t xml:space="preserve">1, Nhập Số GP ĐKKD chứa ký tự số hoặc ký tự đặc biệt 
2, Các trường khác nhập đầy đủ dữ liệu hợp lệ
3, Nhấn Thêm mới </t>
  </si>
  <si>
    <t>TC_177</t>
  </si>
  <si>
    <t xml:space="preserve">Kiểm tra trường Mã đối tác bỏ trống </t>
  </si>
  <si>
    <t xml:space="preserve">1, Bỏ trống trường Mã đối tác
2, Các trường khác nhập đầy đủ dữ liệu hợp lệ
3, Nhấn Thêm mới </t>
  </si>
  <si>
    <t>Thêm mới đối tác không thành công
Mess lỗi: Mã đối tác không được để trống</t>
  </si>
  <si>
    <t>TC_178</t>
  </si>
  <si>
    <t>Kiểm tra trường Mã đối tác tối đa ký tự &lt;=100 ký tự</t>
  </si>
  <si>
    <t xml:space="preserve">1, Nhập Mã đối tác &lt;=100 ký tự 
2, Các trường khác nhập đầy đủ dữ liệu hợp lệ
3, Nhấn Thêm mới </t>
  </si>
  <si>
    <t>TC_179</t>
  </si>
  <si>
    <t>Kiểm tra trường Mã đối tác tối đa ký tự &gt;100 ký tự</t>
  </si>
  <si>
    <t xml:space="preserve">1, Nhập Mã đối tác &gt; 100 ký tự 
2, Các trường khác nhập đầy đủ dữ liệu hợp lệ
3, Nhấn Thêm mới </t>
  </si>
  <si>
    <t>Tự ngắt, không cho nhập thêm nữa 
Mess lỗi “Tên đăng nhập tối đa 100 ký tự”</t>
  </si>
  <si>
    <t>TC_180</t>
  </si>
  <si>
    <t xml:space="preserve">Kiểm tra trường Mã đối tác nhập trùng Mã đối tác đã tồn tại </t>
  </si>
  <si>
    <t>Đang ở màn thêm mới đối tác 
Hệ thống đã tồn tại Mã đối tác 'ABC'</t>
  </si>
  <si>
    <t xml:space="preserve">1, Nhập Mã đối tác nhập trùng 'ABC'
2, Các trường khác nhập đầy đủ dữ liệu hợp lệ
3, Nhấn Thêm mới </t>
  </si>
  <si>
    <t>Thêm mới đối tác không thành công
Mess lỗi “Mã đối tác đã tồn tại”</t>
  </si>
  <si>
    <t>Mess lỗi “Mã đối tác đã tồn tại”</t>
  </si>
  <si>
    <t>TC_181</t>
  </si>
  <si>
    <t>Kiểm tra trường Mã đối tác nhập ký tự khác chữ (số, ký tự đặc biệt)</t>
  </si>
  <si>
    <t xml:space="preserve">1, Nhập Mã đối tác chứa ký tự số hoặc ký tự đặc biệt 
2, Các trường khác nhập đầy đủ dữ liệu hợp lệ
3, Nhấn Thêm mới </t>
  </si>
  <si>
    <t>TC_182</t>
  </si>
  <si>
    <t xml:space="preserve">Kiểm tra trường Mã đối tác nhập không hợp lệ (có dấu, có 2 @, có chứa dấu phẩy) </t>
  </si>
  <si>
    <t xml:space="preserve">KHông cho nhập có dấu
Thêm mới không thành công </t>
  </si>
  <si>
    <t xml:space="preserve">Mess lỗi: Email không đúng định dạng </t>
  </si>
  <si>
    <t>TC_183</t>
  </si>
  <si>
    <t xml:space="preserve">Kiểm tra trường STK bỏ trống </t>
  </si>
  <si>
    <t xml:space="preserve">1, Bỏ trống trường STK
2, Các trường khác nhập đầy đủ dữ liệu hợp lệ
3, Nhấn Thêm mới </t>
  </si>
  <si>
    <t xml:space="preserve">Thêm mới đối tác thành công
STK không bắt buộc nhập </t>
  </si>
  <si>
    <t>TC_184</t>
  </si>
  <si>
    <t>Kiểm tra trường STK tối đa ký tự &lt;=200 ký tự</t>
  </si>
  <si>
    <t xml:space="preserve">1, Nhập STK &lt;=200 ký tự 
2, Các trường khác nhập đầy đủ dữ liệu hợp lệ
3, Nhấn Thêm mới </t>
  </si>
  <si>
    <t>Nhập 190 ký tự (An toàn, 2*!_-vệ sinh lao động không chỉ là một khái niệm trừu tượng mà còn là hiện thân của sự tôn trọng con người, đề cao giá trị cuộc sống. Mỗi ngày , hàng triệu người lao) báo có lỗi xảy ra, xóa bớt đi còn 150 ký tự thì thành công</t>
  </si>
  <si>
    <t>TC_185</t>
  </si>
  <si>
    <t>Kiểm tra trường STK tối đa ký tự &gt;200 ký tự</t>
  </si>
  <si>
    <t xml:space="preserve">1, Nhập STK &gt; 200 ký tự 
2, Các trường khác nhập đầy đủ dữ liệu hợp lệ
3, Nhấn Thêm mới </t>
  </si>
  <si>
    <t>Tự ngắt, không cho nhập thêm nữa 
Mess lỗi “STK tối đa 100 ký tự”</t>
  </si>
  <si>
    <t>TC_186</t>
  </si>
  <si>
    <t xml:space="preserve">Kiểm tra trường STK nhập trùng STK đã tồn tại </t>
  </si>
  <si>
    <t>Đang ở màn thêm mới đối tác 
Hệ thống đã tồn tại STK 'ABC'</t>
  </si>
  <si>
    <t xml:space="preserve">1, Nhập STK nhập trùng 'ABC'
2, Các trường khác nhập đầy đủ dữ liệu hợp lệ
3, Nhấn Thêm mới </t>
  </si>
  <si>
    <t>Thêm mới đối tác thành công
Cho phép trùng STK</t>
  </si>
  <si>
    <t>TC_187</t>
  </si>
  <si>
    <t>Kiểm tra trường STK nhập ký tự khác chữ (số, ký tự đặc biệt)</t>
  </si>
  <si>
    <t xml:space="preserve">1, Nhập STK chứa ký tự số hoặc ký tự đặc biệt 
2, Các trường khác nhập đầy đủ dữ liệu hợp lệ
3, Nhấn Thêm mới </t>
  </si>
  <si>
    <t>TC_188</t>
  </si>
  <si>
    <t xml:space="preserve">Kiểm tra trường Tên ngân hàng theo hợp đồng bỏ trống </t>
  </si>
  <si>
    <t xml:space="preserve">1, Bỏ trống trường Tên ngân hàng theo hợp đồng
2, Các trường khác nhập đầy đủ dữ liệu hợp lệ
3, Nhấn Thêm mới </t>
  </si>
  <si>
    <t xml:space="preserve">Thêm mới đối tác thành công
Tên ngân hàng theo hợp đồng không bắt buộc nhập </t>
  </si>
  <si>
    <t>TC_189</t>
  </si>
  <si>
    <t>Kiểm tra trường Tên ngân hàng theo hợp đồng tối đa ký tự &lt;=200 ký tự</t>
  </si>
  <si>
    <t xml:space="preserve">1, Nhập Tên ngân hàng theo hợp đồng &lt;=200 ký tự 
2, Các trường khác nhập đầy đủ dữ liệu hợp lệ
3, Nhấn Thêm mới </t>
  </si>
  <si>
    <t>Nhập 190 ký tự(An toàn, 2*!_-vệ sinh lao động không chỉ là một khái niệm trừu tượng mà còn là hiện thân của sự tôn trọng con người, đề cao giá trị cuộc sống. Mỗi ngày, hàng triệu người) báo có lỗi xảy ra, xáo bớt đi còn 151 ký tự thì thành công</t>
  </si>
  <si>
    <t>TC_190</t>
  </si>
  <si>
    <t>Kiểm tra trường Tên ngân hàng theo hợp đồng tối đa ký tự &gt;200 ký tự</t>
  </si>
  <si>
    <t xml:space="preserve">1, Nhập Tên ngân hàng theo hợp đồng &gt; 200 ký tự 
2, Các trường khác nhập đầy đủ dữ liệu hợp lệ
3, Nhấn Thêm mới </t>
  </si>
  <si>
    <t>Tự ngắt, không cho nhập thêm nữa 
Mess lỗi “Tên ngân hàng theo hợp đồng tối đa 200 ký tự”</t>
  </si>
  <si>
    <t>TC_191</t>
  </si>
  <si>
    <t xml:space="preserve">Kiểm tra trường Tên ngân hàng theo hợp đồng nhập trùng Tên ngân hàng theo hợp đồng đã tồn tại </t>
  </si>
  <si>
    <t>Đang ở màn thêm mới đối tác 
Hệ thống đã tồn tại Tên ngân hàng theo hợp đồng 'ABC'</t>
  </si>
  <si>
    <t xml:space="preserve">1, Nhập Tên ngân hàng theo hợp đồng nhập trùng 'ABC'
2, Các trường khác nhập đầy đủ dữ liệu hợp lệ
3, Nhấn Thêm mới </t>
  </si>
  <si>
    <t>Thêm mới đối tác thành công
Cho phép trùng Tên ngân hàng theo hợp đồng</t>
  </si>
  <si>
    <t>TC_192</t>
  </si>
  <si>
    <t>Kiểm tra trường Tên ngân hàng theo hợp đồng nhập ký tự khác chữ (số, ký tự đặc biệt)</t>
  </si>
  <si>
    <t xml:space="preserve">1, Nhập Tên ngân hàng theo hợp đồng chứa ký tự số hoặc ký tự đặc biệt 
2, Các trường khác nhập đầy đủ dữ liệu hợp lệ
3, Nhấn Thêm mới </t>
  </si>
  <si>
    <t>TC_193</t>
  </si>
  <si>
    <t xml:space="preserve">Kiểm tra trường Số điện thoại CSKH bỏ trống </t>
  </si>
  <si>
    <t xml:space="preserve">Đăng nhập tài khoản admin 
Đang ở màn thêm mới đối tác </t>
  </si>
  <si>
    <t xml:space="preserve">1, Bỏ trống trường Số điện thoại CSKH
2, Các trường khác nhập đầy đủ dữ liệu hợp lệ
3, Nhấn Thêm mới </t>
  </si>
  <si>
    <t xml:space="preserve">Thêm mới đối tác thành công
Số điện thoại CSKH không bắt buộc nhập </t>
  </si>
  <si>
    <t>TC_194</t>
  </si>
  <si>
    <t>Kiểm tra trường Số điện thoại CSKH tối đa ký tự &lt;=200 ký tự</t>
  </si>
  <si>
    <t xml:space="preserve">1, Nhập Số điện thoại CSKH &lt;=200 ký tự 
2, Các trường khác nhập đầy đủ dữ liệu hợp lệ
3, Nhấn Thêm mới </t>
  </si>
  <si>
    <t xml:space="preserve">giới hạn 31 ký tự </t>
  </si>
  <si>
    <t>TC_195</t>
  </si>
  <si>
    <t>Kiểm tra trường Số điện thoại CSKH tối đa ký tự &gt;200 ký tự</t>
  </si>
  <si>
    <t xml:space="preserve">1, Nhập Số điện thoại CSKH &gt; 200 ký tự 
2, Các trường khác nhập đầy đủ dữ liệu hợp lệ
3, Nhấn Thêm mới </t>
  </si>
  <si>
    <t>Tự ngắt, không cho nhập thêm nữa 
Mess lỗi “Số điện thoại CSKH tối đa 200 ký tự”</t>
  </si>
  <si>
    <t>TC_196</t>
  </si>
  <si>
    <t xml:space="preserve">Kiểm tra trường Số điện thoại CSKH nhập trùng Số điện thoại CSKH đã tồn tại </t>
  </si>
  <si>
    <t>Đang ở màn thêm mới đối tác 
Hệ thống đã tồn tại Số điện thoại CSKH 'ABC'</t>
  </si>
  <si>
    <t xml:space="preserve">1, Nhập Số điện thoại CSKH nhập trùng 'ABC'
2, Các trường khác nhập đầy đủ dữ liệu hợp lệ
3, Nhấn Thêm mới </t>
  </si>
  <si>
    <t>Thêm mới đối tác thành công
Cho phép trùng Số điện thoại CSKH</t>
  </si>
  <si>
    <t>TC_197</t>
  </si>
  <si>
    <t>Kiểm tra trường Số điện thoại CSKH nhập ký tự khác số (chữ , ký tự đặc biệt)</t>
  </si>
  <si>
    <t xml:space="preserve">1, Nhập Số điện thoại CSKH chứa ký tự số hoặc ký tự đặc biệt 
2, Các trường khác nhập đầy đủ dữ liệu hợp lệ
3, Nhấn Thêm mới </t>
  </si>
  <si>
    <t>TC_198</t>
  </si>
  <si>
    <t>Kiểm tra định dạng SDT (nhập đầu 0,84)</t>
  </si>
  <si>
    <t xml:space="preserve">1, Nhập Số điện thoại CSKH =123
2, Các trường khác nhập đầy đủ dữ liệu hợp lệ
3, Nhấn Thêm mới </t>
  </si>
  <si>
    <t>Thêm mới đối tác thành công
Không check định dạng SDT</t>
  </si>
  <si>
    <t>TC_199</t>
  </si>
  <si>
    <t xml:space="preserve">Kiểm tra trường Email CSKH bỏ trống </t>
  </si>
  <si>
    <t xml:space="preserve">1, Bỏ trống trường Email CSKH
2, Các trường khác nhập đầy đủ dữ liệu hợp lệ
3, Nhấn Thêm mới </t>
  </si>
  <si>
    <t xml:space="preserve">Thêm mới đối tác thành công
Email CSKH không bắt buộc nhập </t>
  </si>
  <si>
    <t>TC_200</t>
  </si>
  <si>
    <t>Kiểm tra trường Email CSKH tối đa ký tự &lt;=200 ký tự</t>
  </si>
  <si>
    <t xml:space="preserve">1, Nhập Email CSKH &lt;=200 ký tự 
2, Các trường khác nhập đầy đủ dữ liệu hợp lệ
3, Nhấn Thêm mới </t>
  </si>
  <si>
    <t>TC_201</t>
  </si>
  <si>
    <t>Kiểm tra trường Email CSKH tối đa ký tự &gt;200 ký tự</t>
  </si>
  <si>
    <t xml:space="preserve">1, Nhập Email CSKH &gt; 200 ký tự 
2, Các trường khác nhập đầy đủ dữ liệu hợp lệ
3, Nhấn Thêm mới </t>
  </si>
  <si>
    <t>Tự ngắt, không cho nhập thêm nữa 
Mess lỗi “Email CSKH tối đa 200 ký tự”</t>
  </si>
  <si>
    <t>TC_202</t>
  </si>
  <si>
    <t xml:space="preserve">Kiểm tra trường Email CSKH nhập trùng Email CSKH đã tồn tại </t>
  </si>
  <si>
    <t>Đang ở màn thêm mới đối tác 
Hệ thống đã tồn tại Email CSKH 'ABC'</t>
  </si>
  <si>
    <t xml:space="preserve">1, Nhập Email CSKH nhập trùng 'ABC'
2, Các trường khác nhập đầy đủ dữ liệu hợp lệ
3, Nhấn Thêm mới </t>
  </si>
  <si>
    <t>Thêm mới đối tác thành công
Cho phép trùng Email CSKH</t>
  </si>
  <si>
    <t>TC_203</t>
  </si>
  <si>
    <t>Kiểm tra trường Email CSKH nhập ký tự khác chữ (số, ký tự đặc biệt)</t>
  </si>
  <si>
    <t xml:space="preserve">1, Nhập Email CSKH chứa ký tự số hoặc ký tự đặc biệt 
2, Các trường khác nhập đầy đủ dữ liệu hợp lệ
3, Nhấn Thêm mới </t>
  </si>
  <si>
    <t>TC_204</t>
  </si>
  <si>
    <t>Kiểm tra nhập Email không đúng định dạng (abc@xyz)</t>
  </si>
  <si>
    <t xml:space="preserve">1, Nhập Email CSKH =123
2, Các trường khác nhập đầy đủ dữ liệu hợp lệ
3, Nhấn Thêm mới </t>
  </si>
  <si>
    <t xml:space="preserve">Thêm mới đối tác thành công
Không check định dạng email </t>
  </si>
  <si>
    <t>TC_205</t>
  </si>
  <si>
    <t>Kiểm tra nhập Email có dấu, chứa ký tự dấy phẩy, chứa 2 @</t>
  </si>
  <si>
    <t xml:space="preserve">1, Nhập Email CSKH =việt@gmail.com
2, Các trường khác nhập đầy đủ dữ liệu hợp lệ
3, Nhấn Thêm mới </t>
  </si>
  <si>
    <t xml:space="preserve">Thêm mới đối tác không thành công
Mess lỗi: Email không đúng định dạng </t>
  </si>
  <si>
    <t>Thông tin người đại diện</t>
  </si>
  <si>
    <t>TC_206</t>
  </si>
  <si>
    <t xml:space="preserve">Kiểm tra trường Họ và tên bỏ trống </t>
  </si>
  <si>
    <t xml:space="preserve">1, Bỏ trống trường Họ và tên
2, Các trường khác nhập đầy đủ dữ liệu hợp lệ
3, Nhấn Thêm mới </t>
  </si>
  <si>
    <t>Thêm mới đối tác không thành công
Họ và tên không bắt buộc nhập 
Mess lỗi: Họ và tên người đại diện</t>
  </si>
  <si>
    <t xml:space="preserve">Mess lỗi: Họ và tên người đại diện không được để trống </t>
  </si>
  <si>
    <t>TC_207</t>
  </si>
  <si>
    <t>Kiểm tra nhập họ tên có dấu, không dấu</t>
  </si>
  <si>
    <t xml:space="preserve">1, Nhập Họ và tên =ABC
2, Các trường khác nhập đầy đủ dữ liệu hợp lệ
3, Nhấn Thêm mới </t>
  </si>
  <si>
    <t>Thêm mới đối tác thành công
Họ tên cho nhập có dấu, không dấu, không phân biệt hoa thường</t>
  </si>
  <si>
    <t>TC_208</t>
  </si>
  <si>
    <t>Kiểm tra trường Họ và tên tối đa ký tự &lt;=300 ký tự</t>
  </si>
  <si>
    <t xml:space="preserve">1, Nhập Họ và tên &lt;=300 ký tự 
2, Các trường khác nhập đầy đủ dữ liệu hợp lệ
3, Nhấn Thêm mới </t>
  </si>
  <si>
    <t>TC_209</t>
  </si>
  <si>
    <t>Kiểm tra trường Họ và tên tối đa ký tự &gt;300 ký tự</t>
  </si>
  <si>
    <t xml:space="preserve">1, Nhập Họ và tên &gt; 300 ký tự 
2, Các trường khác nhập đầy đủ dữ liệu hợp lệ
3, Nhấn Thêm mới </t>
  </si>
  <si>
    <t>Tự ngắt, không cho nhập thêm nữa 
Mess lỗi: Họ và tên nhập tối đa 300 ký tự</t>
  </si>
  <si>
    <t xml:space="preserve">Tự động ngắt khi nhập đủ 300 ký tự </t>
  </si>
  <si>
    <t>TC_210</t>
  </si>
  <si>
    <t xml:space="preserve">Kiểm tra trường Họ và tên nhập trùng Họ và tên đã tồn tại </t>
  </si>
  <si>
    <t>Đang ở màn thêm mới đối tác 
Hệ thống đã tồn tại Họ và tên 'ABC'</t>
  </si>
  <si>
    <t xml:space="preserve">1, Nhập Họ và tên nhập trùng 'ABC'
2, Các trường khác nhập đầy đủ dữ liệu hợp lệ
3, Nhấn Thêm mới </t>
  </si>
  <si>
    <t>Thêm mới đối tác thành công
(Cho phép trùng Họ và tên)</t>
  </si>
  <si>
    <t>TC_211</t>
  </si>
  <si>
    <t>Kiểm tra trường Họ và tên nhập ký tự khác chữ (số, ký tự đặc biệt)</t>
  </si>
  <si>
    <t xml:space="preserve">1, Nhập Họ và tên chứa ký tự số hoặc ký tự đặc biệt 
2, Các trường khác nhập đầy đủ dữ liệu hợp lệ
3, Nhấn Thêm mới </t>
  </si>
  <si>
    <t>TC_212</t>
  </si>
  <si>
    <t xml:space="preserve">Kiểm tra trường Số CMND/CCCD bỏ trống </t>
  </si>
  <si>
    <t xml:space="preserve">1, Bỏ trống trường Số CMND/CCCD
2, Các trường khác nhập đầy đủ dữ liệu hợp lệ
3, Nhấn Thêm mới </t>
  </si>
  <si>
    <t>Thêm mới đối tác không thành công
Số CMND/CCCD bắt buộc nhập số</t>
  </si>
  <si>
    <t xml:space="preserve">bắt buộc nhập 
Mess: Số CMND/CCCD phải nhập ký tự số </t>
  </si>
  <si>
    <t>TC_213</t>
  </si>
  <si>
    <t>Kiểm tra trường Số CMND/CCCD tối đa ký tự &lt;=20 ký tự</t>
  </si>
  <si>
    <t xml:space="preserve">1, Nhập Số CMND/CCCD &lt;=20 ký tự 
2, Các trường khác nhập đầy đủ dữ liệu hợp lệ
3, Nhấn Thêm mới </t>
  </si>
  <si>
    <t>giới hạn 13 ký tự</t>
  </si>
  <si>
    <t>TC_214</t>
  </si>
  <si>
    <t>Kiểm tra trường Số CMND/CCCD tối đa ký tự &gt;20 ký tự</t>
  </si>
  <si>
    <t xml:space="preserve">1, Nhập Số CMND/CCCD &gt; 20 ký tự 
2, Các trường khác nhập đầy đủ dữ liệu hợp lệ
3, Nhấn Thêm mới </t>
  </si>
  <si>
    <t>Tự ngắt, không cho nhập thêm nữa 
Mess lỗi: Số CMND/CCCD nhập tối đa 20 ký tự</t>
  </si>
  <si>
    <t>TC_215</t>
  </si>
  <si>
    <t xml:space="preserve">Kiểm tra trường Số CMND/CCCD nhập trùng Số CMND/CCCD đã tồn tại </t>
  </si>
  <si>
    <t>Đang ở màn thêm mới đối tác 
Hệ thống đã tồn tại Số CMND/CCCD 'ABC'</t>
  </si>
  <si>
    <t xml:space="preserve">1, Nhập Số CMND/CCCD nhập trùng 'ABC'
2, Các trường khác nhập đầy đủ dữ liệu hợp lệ
3, Nhấn Thêm mới </t>
  </si>
  <si>
    <t>Thêm mới đối tác thành công
(Cho phép trùng Số CMND/CCCD)</t>
  </si>
  <si>
    <t>TC_216</t>
  </si>
  <si>
    <t>Kiểm tra trường Số CMND/CCCD nhập ký tự khác số (chữ , ký tự đặc biệt)</t>
  </si>
  <si>
    <t xml:space="preserve">1, Nhập Số CMND/CCCD chứa ký tự số hoặc ký tự đặc biệt 
2, Các trường khác nhập đầy đủ dữ liệu hợp lệ
3, Nhấn Thêm mới </t>
  </si>
  <si>
    <t xml:space="preserve">Không cho phép nhập ký tự khác số </t>
  </si>
  <si>
    <t>TC_217</t>
  </si>
  <si>
    <t xml:space="preserve">Kiểm tra trường Số điện thoại bỏ trống </t>
  </si>
  <si>
    <t xml:space="preserve">1, Bỏ trống trường Số điện thoại
2, Các trường khác nhập đầy đủ dữ liệu hợp lệ
3, Nhấn Thêm mới </t>
  </si>
  <si>
    <t xml:space="preserve">Thêm mới đối tác không thành công
Số điện thoại không bắt buộc nhập số  </t>
  </si>
  <si>
    <t xml:space="preserve">Mess: Số điện thoại phải nhập ký tự số </t>
  </si>
  <si>
    <t>TC_218</t>
  </si>
  <si>
    <t>Kiểm tra trường Số điện thoại tối đa ký tự &lt;=11 ký tự</t>
  </si>
  <si>
    <t xml:space="preserve">1, Nhập Số điện thoại &lt;=11 ký tự 
2, Các trường khác nhập đầy đủ dữ liệu hợp lệ
3, Nhấn Thêm mới </t>
  </si>
  <si>
    <t xml:space="preserve">giới hạn 13 ký tự </t>
  </si>
  <si>
    <t>TC_219</t>
  </si>
  <si>
    <t>Kiểm tra trường Số điện thoại tối đa ký tự &gt;11 ký tự</t>
  </si>
  <si>
    <t xml:space="preserve">1, Nhập Số điện thoại &gt; 11 ký tự 
2, Các trường khác nhập đầy đủ dữ liệu hợp lệ
3, Nhấn Thêm mới </t>
  </si>
  <si>
    <t>Tự ngắt, không cho nhập thêm nữa 
Mess lỗi: Số điện thoại nhập tối đa 11 ký tự</t>
  </si>
  <si>
    <t>TC_220</t>
  </si>
  <si>
    <t xml:space="preserve">Kiểm tra trường Số điện thoại nhập trùng Số điện thoại đã tồn tại </t>
  </si>
  <si>
    <t>Đang ở màn thêm mới đối tác 
Hệ thống đã tồn tại Số điện thoại 'ABC'</t>
  </si>
  <si>
    <t xml:space="preserve">1, Nhập Số điện thoại nhập trùng 'ABC'
2, Các trường khác nhập đầy đủ dữ liệu hợp lệ
3, Nhấn Thêm mới </t>
  </si>
  <si>
    <t>Thêm mới đối tác thành công
(Cho phép trùng Số điện thoại)</t>
  </si>
  <si>
    <t>TC_221</t>
  </si>
  <si>
    <t>Kiểm tra trường Số điện thoại nhập ký tự khác số (chữ , ký tự đặc biệt)</t>
  </si>
  <si>
    <t xml:space="preserve">1, Nhập Số điện thoại chứa ký tự số hoặc ký tự đặc biệt 
2, Các trường khác nhập đầy đủ dữ liệu hợp lệ
3, Nhấn Thêm mới </t>
  </si>
  <si>
    <t>TC_222</t>
  </si>
  <si>
    <t>Kiểm tra định dạng số điện thoại (nhập đầu 0,84)</t>
  </si>
  <si>
    <t xml:space="preserve">1, Nhập Số điện thoại =12345678900
2, Các trường khác nhập đầy đủ dữ liệu hợp lệ
3, Nhấn Thêm mới </t>
  </si>
  <si>
    <t>Thêm mới đối tác thành công
Không check định dạng đầu số điện thoại</t>
  </si>
  <si>
    <t>TC_223</t>
  </si>
  <si>
    <t xml:space="preserve">Kiểm tra trường Email bỏ trống </t>
  </si>
  <si>
    <t xml:space="preserve">1, Bỏ trống trường Email
2, Các trường khác nhập đầy đủ dữ liệu hợp lệ
3, Nhấn Thêm mới </t>
  </si>
  <si>
    <t xml:space="preserve">Thêm mới đối tác thành công
Email không bắt buộc nhập </t>
  </si>
  <si>
    <t>TC_224</t>
  </si>
  <si>
    <t>Kiểm tra trường Email tối đa ký tự &lt;=100 ký tự</t>
  </si>
  <si>
    <t xml:space="preserve">1, Nhập Email &lt;=100 ký tự 
2, Các trường khác nhập đầy đủ dữ liệu hợp lệ
3, Nhấn Thêm mới </t>
  </si>
  <si>
    <t>TC_225</t>
  </si>
  <si>
    <t>Kiểm tra trường Email tối đa ký tự &gt;100 ký tự</t>
  </si>
  <si>
    <t xml:space="preserve">1, Nhập Email &gt; 100 ký tự 
2, Các trường khác nhập đầy đủ dữ liệu hợp lệ
3, Nhấn Thêm mới </t>
  </si>
  <si>
    <t>Tự ngắt, không cho nhập thêm nữa 
Mess lỗi: Email nhập tối đa 100 ký tự</t>
  </si>
  <si>
    <t>TC_226</t>
  </si>
  <si>
    <t xml:space="preserve">Kiểm tra trường Email nhập trùng Email đã tồn tại </t>
  </si>
  <si>
    <t>Đang ở màn thêm mới đối tác 
Hệ thống đã tồn tại Email 'ABC'</t>
  </si>
  <si>
    <t xml:space="preserve">1, Nhập Email nhập trùng 'ABC'
2, Các trường khác nhập đầy đủ dữ liệu hợp lệ
3, Nhấn Thêm mới </t>
  </si>
  <si>
    <t>Thêm mới đối tác thành công
(Cho phép trùng Email)</t>
  </si>
  <si>
    <t>TC_227</t>
  </si>
  <si>
    <t>Kiểm tra trường Email nhập ký tự khác chữ (số, ký tự đặc biệt)</t>
  </si>
  <si>
    <t xml:space="preserve">1, Nhập Email chứa ký tự số hoặc ký tự đặc biệt 
2, Các trường khác nhập đầy đủ dữ liệu hợp lệ
3, Nhấn Thêm mới </t>
  </si>
  <si>
    <t>TC_228</t>
  </si>
  <si>
    <t>Kiểm tra định dạng email không đúng (email@address.com)</t>
  </si>
  <si>
    <t xml:space="preserve">1, Nhập Email =123@
2, Các trường khác nhập đầy đủ dữ liệu hợp lệ
3, Nhấn Thêm mới </t>
  </si>
  <si>
    <t>Thêm mới đối tác không thành công
Check Định dạng: email@address.com</t>
  </si>
  <si>
    <t xml:space="preserve">Mess: Email không đúng định dạng </t>
  </si>
  <si>
    <t>TC_229</t>
  </si>
  <si>
    <t>Kiểm tra trạng thái các option</t>
  </si>
  <si>
    <t xml:space="preserve">1, Nhấn vào trường trạng thái </t>
  </si>
  <si>
    <t>Gồm các option:
Tạm dừng, Hoạt động
Mặc định: Tạm dừng</t>
  </si>
  <si>
    <t>TC_230</t>
  </si>
  <si>
    <t xml:space="preserve">Kiểm tra chọn 1 trạng thái </t>
  </si>
  <si>
    <t xml:space="preserve">1, Nhấn vào trường trạng thái và chọn 1 trạng thái </t>
  </si>
  <si>
    <t>Cho phép chọn trạng thái
Hiển thị trạng thái được chọn</t>
  </si>
  <si>
    <t>TC_231</t>
  </si>
  <si>
    <t xml:space="preserve">Kiểm tra trường Giấy ủy quyền bỏ trống </t>
  </si>
  <si>
    <t xml:space="preserve">1, Bỏ trống trường Giấy ủy quyền
2, Các trường khác nhập đầy đủ dữ liệu hợp lệ
3, Nhấn Thêm mới </t>
  </si>
  <si>
    <t xml:space="preserve">Thêm mới đối tác thành công
Giấy ủy quyền không bắt buộc nhập </t>
  </si>
  <si>
    <t>TC_232</t>
  </si>
  <si>
    <t>Kiểm tra trường Giấy ủy quyền upload file không đúng định dạng (không phải file pdf)</t>
  </si>
  <si>
    <t xml:space="preserve">1, Upload file ủy quyền 
2, Các trường khác nhập đầy đủ dữ liệu hợp lệ
3, Nhấn Thêm mới </t>
  </si>
  <si>
    <t>Không cho phép upload file khác PDF</t>
  </si>
  <si>
    <t>Chỉ hiển thị các file PDF cho chọn</t>
  </si>
  <si>
    <t>TC_233</t>
  </si>
  <si>
    <t>Kiểm tra trường Giấy ủy quyền upload file &lt;=10M</t>
  </si>
  <si>
    <t>Đang ở màn thêm mới đối tác , upload đúng file PDF</t>
  </si>
  <si>
    <t>TC_234</t>
  </si>
  <si>
    <t>Kiểm tra trường Giấy ủy quyền upload file &gt;10M</t>
  </si>
  <si>
    <t>Upload file không thành công
Cho phép upload file dung lượng file ko quá 10MB</t>
  </si>
  <si>
    <t xml:space="preserve">Xem chi tiết thông tin đối tác </t>
  </si>
  <si>
    <t>TC_235</t>
  </si>
  <si>
    <t xml:space="preserve">Kiểm tra giao diện thông tin </t>
  </si>
  <si>
    <t xml:space="preserve">Đang ở màn xem chi tiết thông tin đối tác </t>
  </si>
  <si>
    <t xml:space="preserve">1, Quan sát giao diện </t>
  </si>
  <si>
    <t xml:space="preserve">Hiển thị đầy đủ các trường thông tin đối tác </t>
  </si>
  <si>
    <t>TC_236</t>
  </si>
  <si>
    <t xml:space="preserve">Kiểm tra dữ liệu </t>
  </si>
  <si>
    <t xml:space="preserve">1, Kiểm tra dữ liệu các trường thông tin đối tác </t>
  </si>
  <si>
    <t xml:space="preserve">Hiển thị đúng dữ liệu các trường thông tin đối tác </t>
  </si>
  <si>
    <t>TC_237</t>
  </si>
  <si>
    <t xml:space="preserve">Kiểm tra thao tác xóa, thay đổi thông tin </t>
  </si>
  <si>
    <t>1, Thực hiện xóa, thay đổi thông tin đối tác</t>
  </si>
  <si>
    <t>Không cho phép xóa, thay đổi thông tin đối tác</t>
  </si>
  <si>
    <t>Sửa thông tin đối tác</t>
  </si>
  <si>
    <t>Thông tin giao diện</t>
  </si>
  <si>
    <t>TC_238</t>
  </si>
  <si>
    <t>Kiểm tra phân vùng [Thông tin CP] trên màn hình [Cập nhật thông tin đối tác]</t>
  </si>
  <si>
    <t>Đang ở màn hình [Cập nhật thông tin đối tác]</t>
  </si>
  <si>
    <t>1) Quan sát màn hình</t>
  </si>
  <si>
    <t>- Phân vùng [Thông tin CP] hiển thị các trường theo tài liệu: [Tên đối tác], [Mã đối tác], [Mã số thuế], [Mã hợp đồng], [Địa chỉ], [Số GP ĐKKD], [STK], [Tên ngân hàng theo hợp đồng], [Số điện thoại CSKH], [Email CSKH]</t>
  </si>
  <si>
    <t>TC_239</t>
  </si>
  <si>
    <t>Kiểm tra phân vùng [Thông tin người đại diện] trên màn hình [Cập nhật thông tin đối tác]</t>
  </si>
  <si>
    <t>- Phân vùng [Thông tin người đại diện] hiển thị các trường: [Họ và tên], [Số CMND/CCCD], [Số điện thoại], [Email], trường [Giấy ủy quyền] và button [Upload file]</t>
  </si>
  <si>
    <t>TC_240</t>
  </si>
  <si>
    <t>Kiểm tra phân vùng [Thông tin tích hợp] trên màn hình [Cập nhật thông tin đối tác]</t>
  </si>
  <si>
    <t>- Phân vùng [Thông tin tích hợp] hiển thị các trường: [URL API], [Secret key], [IP]</t>
  </si>
  <si>
    <t>TC_241</t>
  </si>
  <si>
    <t>Kiểm tra trường [Mã đối tác] trên màn hình [Cập nhật thông tin đối tác]</t>
  </si>
  <si>
    <t>1) Click vào trường [Mã đối tác]
2) Thử nhập/chỉnh sửa giá trị</t>
  </si>
  <si>
    <t xml:space="preserve">- Trường [Mã đối tác] ở trạng thái disable/read-only
- Không cho phép sửa </t>
  </si>
  <si>
    <t>TC_242</t>
  </si>
  <si>
    <t>Kiểm tra trường [Mã số thuế] trên màn hình [Cập nhật thông tin đối tác]</t>
  </si>
  <si>
    <t>1) Click vào trường [Mã số thuế]
2) Thử nhập/chỉnh sửa giá trị</t>
  </si>
  <si>
    <t xml:space="preserve">- Trường [Mã số thuế] ở trạng thái disable/read-only
- Không cho phép sửa </t>
  </si>
  <si>
    <t>TC_243</t>
  </si>
  <si>
    <t>Kiểm tra hiển thị button [Lưu] trên màn hình [Cập nhật thông tin đối tác]</t>
  </si>
  <si>
    <t>- Hiển thị button [Lưu]</t>
  </si>
  <si>
    <t>TC_244</t>
  </si>
  <si>
    <t>Kiểm tra hiển thị button [Hủy] trên màn hình [Cập nhật thông tin đối tác]</t>
  </si>
  <si>
    <t>- Hiển thị button [Hủy]</t>
  </si>
  <si>
    <t>Validate phân vùng [Thông tin CP]</t>
  </si>
  <si>
    <t>TC_245</t>
  </si>
  <si>
    <t>Kiểm tra bỏ trống trường [Tên đối tác ]</t>
  </si>
  <si>
    <t>1) Xóa dữ liệu và bỏ trống trường Tên đối tác</t>
  </si>
  <si>
    <t xml:space="preserve">Hiển thị mess: Tên đối tác không được để trống </t>
  </si>
  <si>
    <t>TC_246</t>
  </si>
  <si>
    <t>Kiểm tra giới hạn nhập của trường [Tên đối tác ]</t>
  </si>
  <si>
    <t>1) Nhập chuỗi &gt; 300 ký tự vào [Tên đối tác]</t>
  </si>
  <si>
    <t>- Hệ thống tự ngắt, chỉ nhận tối đa 300 ký tự</t>
  </si>
  <si>
    <t>TC_247</t>
  </si>
  <si>
    <t>Kiểm tra giới hạn nhập của trường [Địa chỉ]</t>
  </si>
  <si>
    <t>1) Nhập chuỗi &gt; 1000 ký tự vào [Địa chỉ]</t>
  </si>
  <si>
    <t>- Hệ thống tự ngắt, chỉ nhận tối đa 1000 ký tự</t>
  </si>
  <si>
    <t>TC_248</t>
  </si>
  <si>
    <t>Kiểm tra validate độ dài trường [Địa chỉ] khi bấm button [Lưu]</t>
  </si>
  <si>
    <t>1) Dán chuỗi &gt; 1000 ký tự vào [Địa chỉ]
2) Bấm button [Lưu]</t>
  </si>
  <si>
    <t>- Hệ thống không lưu dữ liệu
- Hiển thị lỗi vượt quá 1000 ký tự tại [Địa chỉ]</t>
  </si>
  <si>
    <t>TC_249</t>
  </si>
  <si>
    <t>Kiểm tra giới hạn nhập của trường [Số GP ĐKKD]</t>
  </si>
  <si>
    <t>1) Nhập chuỗi &gt; 100 ký tự vào [Số GP ĐKKD]</t>
  </si>
  <si>
    <t>- Hệ thống tự ngắt, chỉ nhận tối đa 100 ký tự</t>
  </si>
  <si>
    <t xml:space="preserve">giới hạn 100 ký tự </t>
  </si>
  <si>
    <t>TC_250</t>
  </si>
  <si>
    <t>Kiểm tra validate độ dài trường [Số GP ĐKKD] khi bấm button [Lưu]</t>
  </si>
  <si>
    <t>1) Dán chuỗi &gt; 100 ký tự vào [Số GP ĐKKD]
2) Bấm button [Lưu]</t>
  </si>
  <si>
    <t>- Hệ thống không lưu dữ liệu
- Hiển thị lỗi vượt quá 100 ký tự tại [Số GP ĐKKD]</t>
  </si>
  <si>
    <t>TC_251</t>
  </si>
  <si>
    <t>Kiểm tra trường [Số điện thoại CSKH] trên màn hình [Cập nhật thông tin đối tác]</t>
  </si>
  <si>
    <t>1) Nhập ký tự chữ vào [Số điện thoại CSKH]
2) Bấm button [Lưu]</t>
  </si>
  <si>
    <t>- Hệ thống không lưu dữ liệu
- Hiển thị lỗi tại [Số điện thoại CSKH] yêu cầu chỉ nhập số</t>
  </si>
  <si>
    <t>Không cho nhập ký tự khác số</t>
  </si>
  <si>
    <t>TC_252</t>
  </si>
  <si>
    <t>Kiểm tra giới hạn nhập của trường [Số điện thoại CSKH]</t>
  </si>
  <si>
    <t>1) Nhập chuỗi số &gt; 200 ký tự vào [Số điện thoại CSKH]</t>
  </si>
  <si>
    <t>- Hệ thống tự ngắt, chỉ nhận tối đa 200 ký tự</t>
  </si>
  <si>
    <t>TC_253</t>
  </si>
  <si>
    <t>Kiểm tra validate độ dài trường [Số điện thoại CSKH] khi bấm button [Lưu]</t>
  </si>
  <si>
    <t>1) Dán chuỗi số &gt; 200 ký tự vào [Số điện thoại CSKH]
2) Bấm button [Lưu]</t>
  </si>
  <si>
    <t>- Hệ thống không lưu dữ liệu
- Hiển thị lỗi vượt quá 200 ký tự tại [Số điện thoại CSKH]</t>
  </si>
  <si>
    <t>TC_254</t>
  </si>
  <si>
    <t>Kiểm tra trường [Email CSKH] trên màn hình [Cập nhật thông tin đối tác]</t>
  </si>
  <si>
    <t>1) Nhập email sai định dạng vào [Email CSKH]
2) Bấm button [Lưu]</t>
  </si>
  <si>
    <t>- Hệ thống không lưu dữ liệu
- Hiển thị lỗi sai định dạng tại [Email CSKH]</t>
  </si>
  <si>
    <t>TC_255</t>
  </si>
  <si>
    <t>Kiểm tra giới hạn nhập của trường [Email CSKH]</t>
  </si>
  <si>
    <t>1) Nhập email &gt; 200 ký tự vào [Email CSKH]</t>
  </si>
  <si>
    <t xml:space="preserve">giới hạn 200 ký tự </t>
  </si>
  <si>
    <t>TC_256</t>
  </si>
  <si>
    <t>Kiểm tra validate độ dài trường [Email CSKH] khi bấm button [Lưu]</t>
  </si>
  <si>
    <t>1) Dán email &gt; 200 ký tự vào [Email CSKH]
2) Bấm button [Lưu]</t>
  </si>
  <si>
    <t>- Hệ thống không lưu dữ liệu
- Hiển thị lỗi vượt quá 200 ký tự tại [Email CSKH]</t>
  </si>
  <si>
    <t>TC_257</t>
  </si>
  <si>
    <t>Kiểm tra giới hạn nhập của trường [STK]</t>
  </si>
  <si>
    <t>1) Nhập chuỗi &gt; 200 ký tự vào [STK]</t>
  </si>
  <si>
    <t xml:space="preserve">giới hạn 190 ký tự </t>
  </si>
  <si>
    <t>TC_258</t>
  </si>
  <si>
    <t>Kiểm tra validate độ dài trường [STK] khi bấm button [Lưu]</t>
  </si>
  <si>
    <t>1) Dán chuỗi &gt; 200 ký tự vào [STK]
2) Bấm button [Lưu]</t>
  </si>
  <si>
    <t>- Hệ thống không lưu dữ liệu
- Hiển thị lỗi vượt quá 200 ký tự tại [STK]</t>
  </si>
  <si>
    <t>TC_259</t>
  </si>
  <si>
    <t>Kiểm tra giới hạn nhập của trường [Tên ngân hàng theo hợp đồng]</t>
  </si>
  <si>
    <t>1) Nhập chuỗi &gt; 200 ký tự vào [Tên ngân hàng theo hợp đồng]</t>
  </si>
  <si>
    <t>TC_260</t>
  </si>
  <si>
    <t>Kiểm tra validate độ dài trường [Tên ngân hàng theo hợp đồng] khi bấm button [Lưu]</t>
  </si>
  <si>
    <t>1) Dán chuỗi &gt; 200 ký tự vào [Tên ngân hàng theo hợp đồng]
2) Bấm button [Lưu]</t>
  </si>
  <si>
    <t>- Hệ thống không lưu dữ liệu
- Hiển thị lỗi vượt quá 200 ký tự tại [Tên ngân hàng theo hợp đồng]</t>
  </si>
  <si>
    <t>Validate phân vùng [Thông tin người đại diện]</t>
  </si>
  <si>
    <t>TC_261</t>
  </si>
  <si>
    <t>Kiểm tra giới hạn nhập của trường [Họ và tên] tại phân vùng [Thông tin người đại diện]</t>
  </si>
  <si>
    <t>1) Nhập chuỗi &gt; 300 ký tự vào [Họ và tên]</t>
  </si>
  <si>
    <t>giới hạn 300 ký tự</t>
  </si>
  <si>
    <t>TC_262</t>
  </si>
  <si>
    <t>Kiểm tra validate độ dài trường [Họ và tên] tại phân vùng [Thông tin người đại diện] khi bấm button [Lưu]</t>
  </si>
  <si>
    <t>1) Dán chuỗi &gt; 300 ký tự vào [Họ và tên]
2) Bấm button [Lưu]</t>
  </si>
  <si>
    <t>- Hệ thống không lưu dữ liệu
- Hiển thị lỗi vượt quá 300 ký tự tại [Họ và tên]</t>
  </si>
  <si>
    <t>TC_263</t>
  </si>
  <si>
    <t>Kiểm tra trường [Số CMND/CCCD] tại phân vùng [Thông tin người đại diện]</t>
  </si>
  <si>
    <t>1) Nhập ký tự chữ vào [Số CMND/CCCD]
2) Bấm button [Lưu]</t>
  </si>
  <si>
    <t>- Hệ thống không lưu dữ liệu
- Hiển thị lỗi tại [Số CMND/CCCD] yêu cầu chỉ nhập số</t>
  </si>
  <si>
    <t>không nhập ký tự khác số</t>
  </si>
  <si>
    <t>TC_264</t>
  </si>
  <si>
    <t>Kiểm tra giới hạn nhập của trường [Số CMND/CCCD] tại phân vùng [Thông tin người đại diện]</t>
  </si>
  <si>
    <t>1) Nhập chuỗi số &gt; 20 ký tự vào [Số CMND/CCCD]</t>
  </si>
  <si>
    <t>- Hệ thống tự ngắt, chỉ nhận tối đa 20 ký tự</t>
  </si>
  <si>
    <t>TC_265</t>
  </si>
  <si>
    <t>Kiểm tra validate độ dài trường [Số CMND/CCCD] tại phân vùng [Thông tin người đại diện] khi bấm button [Lưu]</t>
  </si>
  <si>
    <t>1) Dán chuỗi số &gt; 20 ký tự vào [Số CMND/CCCD]
2) Bấm button [Lưu]</t>
  </si>
  <si>
    <t>- Hệ thống không lưu dữ liệu
- Hiển thị lỗi vượt quá 20 ký tự tại [Số CMND/CCCD]</t>
  </si>
  <si>
    <t>TC_266</t>
  </si>
  <si>
    <t>Kiểm tra trường [Số điện thoại] tại phân vùng [Thông tin người đại diện]</t>
  </si>
  <si>
    <t>1) Nhập ký tự chữ vào [Số điện thoại]
2) Bấm button [Lưu]</t>
  </si>
  <si>
    <t>- Hệ thống không lưu dữ liệu
- Hiển thị lỗi tại [Số điện thoại] yêu cầu chỉ nhập số</t>
  </si>
  <si>
    <t>TC_267</t>
  </si>
  <si>
    <t>Kiểm tra giới hạn nhập của trường [Số điện thoại] tại phân vùng [Thông tin người đại diện]</t>
  </si>
  <si>
    <t>1) Nhập chuỗi số &gt; 20 ký tự vào [Số điện thoại]</t>
  </si>
  <si>
    <t>TC_268</t>
  </si>
  <si>
    <t>Kiểm tra validate độ dài trường [Số điện thoại] tại phân vùng [Thông tin người đại diện] khi bấm button [Lưu]</t>
  </si>
  <si>
    <t>1) Dán chuỗi số &gt; 20 ký tự vào [Số điện thoại]
2) Bấm button [Lưu]</t>
  </si>
  <si>
    <t>- Hệ thống không lưu dữ liệu
- Hiển thị lỗi vượt quá 20 ký tự tại [Số điện thoại]</t>
  </si>
  <si>
    <t>TC_269</t>
  </si>
  <si>
    <t>Kiểm tra trường [Email] tại phân vùng [Thông tin người đại diện]</t>
  </si>
  <si>
    <t>1) Nhập email sai định dạng vào [Email]
2) Bấm button [Lưu]</t>
  </si>
  <si>
    <t>- Hệ thống không lưu dữ liệu
- Hiển thị lỗi sai định dạng tại [Email]</t>
  </si>
  <si>
    <t>TC_270</t>
  </si>
  <si>
    <t>Kiểm tra giới hạn nhập của trường [Email] tại phân vùng [Thông tin người đại diện]</t>
  </si>
  <si>
    <t>1) Nhập email &gt; 100 ký tự vào [Email]</t>
  </si>
  <si>
    <t>TC_271</t>
  </si>
  <si>
    <t>Kiểm tra validate độ dài trường [Email] tại phân vùng [Thông tin người đại diện] khi bấm button [Lưu]</t>
  </si>
  <si>
    <t>1) Dán email &gt; 100 ký tự vào [Email]
2) Bấm button [Lưu]</t>
  </si>
  <si>
    <t>- Hệ thống không lưu dữ liệu
- Hiển thị lỗi vượt quá 100 ký tự tại [Email]</t>
  </si>
  <si>
    <t>TC_272</t>
  </si>
  <si>
    <t>Kiểm tra button [Upload file] tại trường [Giấy ủy quyền] với file không phải PDF</t>
  </si>
  <si>
    <t>1) Bấm button [Upload file]
2) Chọn file không phải PDF</t>
  </si>
  <si>
    <t>- Hệ thống không upload file
- Hiển thị lỗi chỉ cho phép định dạng PDF</t>
  </si>
  <si>
    <t>TC_273</t>
  </si>
  <si>
    <t>Kiểm tra button [Upload file] tại trường [Giấy ủy quyền] với file PDF vượt 10MB</t>
  </si>
  <si>
    <t>1) Bấm button [Upload file]
2) Chọn file PDF &gt; 10MB</t>
  </si>
  <si>
    <t>- Hệ thống không upload file
- Hiển thị lỗi dung lượng tối đa 10MB</t>
  </si>
  <si>
    <t>Popup: Dung lượng file không được quá 10MB</t>
  </si>
  <si>
    <t>TC_274</t>
  </si>
  <si>
    <t>Kiểm tra button [Upload file] tại trường [Giấy ủy quyền] với file PDF hợp lệ</t>
  </si>
  <si>
    <t>1) Bấm button [Upload file]
2) Chọn file PDF ≤ 10MB</t>
  </si>
  <si>
    <t>- Hệ thống upload file thành công
- File được gắn tại trường [Giấy ủy quyền]</t>
  </si>
  <si>
    <t>Flow button [Lưu] / [Hủy]</t>
  </si>
  <si>
    <t>TC_275</t>
  </si>
  <si>
    <t>Kiểm tra flow khi bấm button [Lưu] trên màn hình [Cập nhật thông tin đối tác]</t>
  </si>
  <si>
    <t>1) Nhập dữ liệu hợp lệ
2) Bấm button [Lưu]</t>
  </si>
  <si>
    <t>- Hệ thống lưu dữ liệu cập nhật của CP
- Hiển thị PopUP “Cập nhật dữ liệu thành công.”
- Điều hướng về màn hình [Danh sách thông tin đối tác]</t>
  </si>
  <si>
    <t>Popup: Cập nhật dữ liệu thành công.</t>
  </si>
  <si>
    <t>TC_276</t>
  </si>
  <si>
    <t>Kiểm tra thông tin đối tác sau khi bấm button [Lưu]</t>
  </si>
  <si>
    <t>1) Tại màn hình [Danh sách thông tin đối tác], kiểm tra trạng thái
2) Mở lại màn hình [Thông tin đối tác]</t>
  </si>
  <si>
    <t xml:space="preserve">- Hiển thị đúng thông tin đã thay đổi </t>
  </si>
  <si>
    <t>TC_277</t>
  </si>
  <si>
    <t>Kiểm tra flow khi bấm button [Hủy] trên màn hình [Cập nhật thông tin đối tác]</t>
  </si>
  <si>
    <t>1) Nhập thay đổi bất kỳ
2) Bấm button [Hủy]</t>
  </si>
  <si>
    <t>- Hệ thống không lưu thay đổi
- Điều hướng về màn hình [Danh sách thông tin đối tác]</t>
  </si>
  <si>
    <t xml:space="preserve">Xóa đối tác </t>
  </si>
  <si>
    <t>TC_278</t>
  </si>
  <si>
    <t xml:space="preserve">Kiểm tra nhấn xóa 1 đối tác chưa được gán với sản phẩm nào </t>
  </si>
  <si>
    <t xml:space="preserve">Đang ở màn danh sách đối tác </t>
  </si>
  <si>
    <t>1, Nhấn xóa 1 đối tác 22 (tên đối tác)</t>
  </si>
  <si>
    <t xml:space="preserve">Hiển thị popup xác nhận xóa  'Bạn muốn xóa đối tác 22'
Nút OK, </t>
  </si>
  <si>
    <t>TC_279</t>
  </si>
  <si>
    <t>Nhấn cancel</t>
  </si>
  <si>
    <t>Đang ở popup xác nhận xóa</t>
  </si>
  <si>
    <t>1, Nhấn xóa 1 đối tác 22 (tên đối tác)
2, Nhấn cancel</t>
  </si>
  <si>
    <t>Hủy xóa đối tác
Đối tác không bị xóa</t>
  </si>
  <si>
    <t>TC_280</t>
  </si>
  <si>
    <t xml:space="preserve">Nhấn OK </t>
  </si>
  <si>
    <t>1, Nhấn xóa 1 đối tác 22 (tên đối tác)
2, Nhấn OK</t>
  </si>
  <si>
    <t xml:space="preserve">Xóa đối tác thành công
Đối tác không hiển thị trong danh sách đối tác </t>
  </si>
  <si>
    <t>TC_281</t>
  </si>
  <si>
    <t>Kiểm tra xóa 1 đối tác đã được gán với sản phẩm nhưng sản phẩm hiện tại đang được gán với đơn hàng</t>
  </si>
  <si>
    <t>Đang ở màn danh sách đối tác 
Đối tác được gán với sản phẩm và sản phẩm đang được gán với đơn hàng</t>
  </si>
  <si>
    <t>1, Nhấn xóa 1 đối tác</t>
  </si>
  <si>
    <t xml:space="preserve">Không cho phép xóa đối tác </t>
  </si>
  <si>
    <t xml:space="preserve">Ẩn nút xóa </t>
  </si>
  <si>
    <t xml:space="preserve">Tạm dừng/ kích hoạt đối tác </t>
  </si>
  <si>
    <t>TC_282</t>
  </si>
  <si>
    <t xml:space="preserve">Tạm dừng đối tác </t>
  </si>
  <si>
    <t xml:space="preserve">Đang ở màn hình Danh sách đối tác 
Đối tác ở trạng thái hoạt động </t>
  </si>
  <si>
    <t xml:space="preserve">1, Nhấn icon khóa tạm dừng đối tác </t>
  </si>
  <si>
    <t>Tạm dừng đối tác thành công
Đối tác chuyển sang trạng thái tạm dừng</t>
  </si>
  <si>
    <t>TC_283</t>
  </si>
  <si>
    <t xml:space="preserve">Kích hoạt đối tác </t>
  </si>
  <si>
    <t xml:space="preserve">Đang ở màn hình Danh sách đối tác 
Đối tác ở trạng thái tạm dừng </t>
  </si>
  <si>
    <t xml:space="preserve">1, Nhấn icon khóa kích hoạt đối tác </t>
  </si>
  <si>
    <t>Kích hoạt đối tác thành công
Đối tác chuyển sang trạng thái kích hoạt (hoạt động)</t>
  </si>
  <si>
    <t>Duyệt đối tác (xảy ra khi CP tự cập nhật thông tin và gửi phê duyệt lên admin)</t>
  </si>
  <si>
    <t>TC_284</t>
  </si>
  <si>
    <t xml:space="preserve">Kiểm tra trạng thái của đối tác khi chờ duyệt </t>
  </si>
  <si>
    <t xml:space="preserve">Đang ở màn hình Danh sách đối tác </t>
  </si>
  <si>
    <t>1, CP thực hiện cập nhật thông tin và gửi phê duyệt lên admin 
2, Admin Kiểm tra trạng thái đối tác</t>
  </si>
  <si>
    <t xml:space="preserve">Đối tác ở trạng thái chờ duyệt
hiển thị icon duyệt đối tác </t>
  </si>
  <si>
    <t>TC_285</t>
  </si>
  <si>
    <t xml:space="preserve">Duyệt đối tác khi không nhập lý do </t>
  </si>
  <si>
    <t>Đang ở màn hình Danh sách đối tác 
Đối tác ở trạng thái chờ duyệt</t>
  </si>
  <si>
    <t xml:space="preserve">1, Nhấn icon duyệt đối tác (ở cột thao tác)
2, Không Nhập lý do
3, Nhấn duyệt đối tác </t>
  </si>
  <si>
    <t>Duyệt đối tác thành công 
Không yêu cầu nhập lý do (không bắt buộc nhập)
Đối tác chuyển sang trạng thái Hoạt động
Ở màn CMS của CP, CP hiển thị trạng thái hoạt động</t>
  </si>
  <si>
    <t>TC_286</t>
  </si>
  <si>
    <t xml:space="preserve">Duyệt đối tác khi nhập lý do </t>
  </si>
  <si>
    <t xml:space="preserve">1, Nhấn icon duyệt đối tác (ở cột thao tác)
2, Nhập lý do
3, Nhấn duyệt đối tác </t>
  </si>
  <si>
    <t>Duyệt đối tác thành công 
Đối tác chuyển sang trạng thái Hoạt động
Ở màn CMS của CP, CP hiển thị trạng thái hoạt động</t>
  </si>
  <si>
    <t>TC_287</t>
  </si>
  <si>
    <t xml:space="preserve">Từ chối đối tác khi không nhập lý do </t>
  </si>
  <si>
    <t xml:space="preserve">1, Nhấn icon duyệt đối tác (ở cột thao tác)
2, Không Nhập lý do
3, Nhấn Từ chối  </t>
  </si>
  <si>
    <t>Từ chối đối tác không thành công
Mess: Vui lòng nhập lý do từ chối
Đối tác vẫn ở trạng thái chờ duyệt</t>
  </si>
  <si>
    <t>TC_288</t>
  </si>
  <si>
    <t xml:space="preserve">Từ chối đối tác khi nhập lý do </t>
  </si>
  <si>
    <t xml:space="preserve">1, Nhấn icon duyệt đối tác (ở cột thao tác)
2, Nhập lý do
3, Nhấn Từ chối  </t>
  </si>
  <si>
    <t xml:space="preserve">Từ chối đối tác thành công
Popup: Từ chối thông tin đối tác thành công
Đối tác ở trạng thái Từ chối 
Ở màn chi tiết đối tác ở trạng thái Tạm dừng </t>
  </si>
  <si>
    <t>TC_289</t>
  </si>
  <si>
    <t xml:space="preserve">Kiểm tra validate nhập lý do </t>
  </si>
  <si>
    <t xml:space="preserve">Đang ở popup duyệt/ từ chối đối tác </t>
  </si>
  <si>
    <t xml:space="preserve">1, Nhập lý do từ chối 
2, Nhấn từ chối </t>
  </si>
  <si>
    <t>Không giới hạn số ký tự
Cho phép nhập bất kỳ ký tự (bao gồm chữ, số, đặc biệt)</t>
  </si>
  <si>
    <t>Quản lý sản phẩm</t>
  </si>
  <si>
    <t>Danh sách sản phẩm</t>
  </si>
  <si>
    <t>Kiểm tra truy cập màn hình [Danh sách sản phẩm]</t>
  </si>
  <si>
    <t>CP đã đăng nhập CMS</t>
  </si>
  <si>
    <t>1) Truy cập chức năng [Danh sách sản phẩm]</t>
  </si>
  <si>
    <t>- Hiển thị đúng màn hình [Danh sách sản phẩm]</t>
  </si>
  <si>
    <t>Kiểm tra hiển thị khu vực tìm kiếm trên màn hình [Danh sách sản phẩm]</t>
  </si>
  <si>
    <t>CP đang ở màn hình [Danh sách sản phẩm]</t>
  </si>
  <si>
    <t>1) Quan sát khu vực tìm kiếm</t>
  </si>
  <si>
    <t>- Hiển thị trường [Tên sản phẩm]
- Hiển thị trường [Tên CP]
- Hiển thị trường [Trạng thái]
- Hiển thị trường [Nhóm sản phẩm]
- Hiển thị button [Tìm kiếm]</t>
  </si>
  <si>
    <t>Kiểm tra bảng danh sách sản phẩm</t>
  </si>
  <si>
    <t>1) Kiểm tra bảng list danh sách</t>
  </si>
  <si>
    <t>Bảng hiển thị các thông tin:
- STT
- Tên CP
- Tên sản phẩm
- Nhóm sản phẩm
- Loại sản phẩm
- Giá
- Đơn vị tính
- Thứ tự hiển thị
- Tồn kho
- Trạng thái
- Kết quả nghiệm thu
- Ghi chú
- Ngày cập nhật
- Thao tác</t>
  </si>
  <si>
    <t>Kiểm tra tìm kiếm khi bỏ trống tất cả điều kiện</t>
  </si>
  <si>
    <t>CP đang ở màn hình [Danh sách sản phẩm] và CP có sản phẩm</t>
  </si>
  <si>
    <t>1) Để trống [Tên sản phẩm]
2) Không chọn [Nhóm sản phẩm] và [Tên CP]
3) Không chọn [Trạng thái]
4) Bấm button [Tìm kiếm]</t>
  </si>
  <si>
    <t>- Danh sách hiển thị tất cả sản phẩm thuộc CP đang đăng nhập</t>
  </si>
  <si>
    <t>Kiểm tra thứ tự hiển thị kết quả khi không nhập điều kiện tìm kiếm</t>
  </si>
  <si>
    <t>CP đang ở màn hình [Danh sách sản phẩm] và có tối thiểu 2 sản phẩm có thời điểm cập nhật khác nhau</t>
  </si>
  <si>
    <t>1) Bỏ trống tất cả điều kiện
2) Bấm button [Tìm kiếm]</t>
  </si>
  <si>
    <t>- Danh sách hiển thị theo thứ tự “mới nhất trước”</t>
  </si>
  <si>
    <t>Kiểm tra tìm kiếm theo trường [Tên sản phẩm] (khớp tương đối)</t>
  </si>
  <si>
    <t>CP đang ở màn hình [Danh sách sản phẩm] và có sản phẩm chứa chuỗi “ABC” trong tên</t>
  </si>
  <si>
    <t>1) Nhập “ABC” vào trường [Tên sản phẩm]
2) Bấm button [Tìm kiếm]</t>
  </si>
  <si>
    <t>- Danh sách chỉ hiển thị các sản phẩm có [Tên sản phẩm] khớp tương đối với “ABC”</t>
  </si>
  <si>
    <t>Kiểm tra tìm kiếm theo trường [Tên sản phẩm] khi không có kết quả</t>
  </si>
  <si>
    <t>1) Nhập giá trị không tồn tại vào [Tên sản phẩm]
2) Bấm button [Tìm kiếm]</t>
  </si>
  <si>
    <t>- Danh sách kết quả rỗng (không có bản ghi hiển thị)</t>
  </si>
  <si>
    <t>Kiểm tra hiển thị danh sách giá trị của dropdown [Nhóm sản phẩm]</t>
  </si>
  <si>
    <t>1) Mở dropdown [Nhóm sản phẩm]</t>
  </si>
  <si>
    <t>- Hiển thị danh sách [Nhóm sản phẩm] đã được khai báo trên hệ thống</t>
  </si>
  <si>
    <t>Kiểm tra tìm kiếm theo trường [Nhóm sản phẩm]</t>
  </si>
  <si>
    <t>CP đang ở màn hình [Danh sách sản phẩm] và có sản phẩm thuộc nhóm X</t>
  </si>
  <si>
    <t>1) Chọn X tại [Nhóm sản phẩm]
2) Bấm button [Tìm kiếm]</t>
  </si>
  <si>
    <t>- Danh sách chỉ hiển thị các sản phẩm có [Nhóm sản phẩm] = X</t>
  </si>
  <si>
    <t>Kiểm tra danh sách giá trị của dropdown [Trạng thái]</t>
  </si>
  <si>
    <t>1) Mở dropdown [Trạng thái]</t>
  </si>
  <si>
    <t>- Dropdown [Trạng thái] hiển thị các giá trị:
- [Chờ duyệt]
- [Từ chối]
- [Đang nghiệm thu]
- [Chờ duyệt nghiệm thu]
- [Chờ launching]
- [Đã launching]
- [Hoạt động]
- [Tạm dừng]</t>
  </si>
  <si>
    <t>Kiểm tra tìm kiếm theo trường [Trạng thái]</t>
  </si>
  <si>
    <t>CP đang ở màn hình [Danh sách sản phẩm] và có sản phẩm ở trạng thái Y</t>
  </si>
  <si>
    <t>1) Chọn Y tại [Trạng thái]
2) Bấm button [Tìm kiếm]</t>
  </si>
  <si>
    <t>- Danh sách chỉ hiển thị các sản phẩm có [Trạng thái] = Y</t>
  </si>
  <si>
    <t>Kiểm tra tìm kiếm kết hợp nhiều điều kiện</t>
  </si>
  <si>
    <t>CP đang ở màn hình [Danh sách sản phẩm] và có dữ liệu phù hợp</t>
  </si>
  <si>
    <r>
      <rPr>
        <rFont val="Times New Roman"/>
        <color theme="1"/>
        <sz val="12.0"/>
      </rPr>
      <t xml:space="preserve">1) Nhập [Tên sản phẩm]
2) Chọn [Nhóm sản phẩm]
3) Chọn [Trạng thái]
</t>
    </r>
    <r>
      <rPr>
        <rFont val="Times New Roman"/>
        <strike/>
        <color theme="1"/>
        <sz val="12.0"/>
      </rPr>
      <t>4) Chọn [Từ ngày] và [Đến ngày]</t>
    </r>
    <r>
      <rPr>
        <rFont val="Times New Roman"/>
        <color theme="1"/>
        <sz val="12.0"/>
      </rPr>
      <t xml:space="preserve">
5) Bấm button [Tìm kiếm]</t>
    </r>
  </si>
  <si>
    <t>- Danh sách chỉ hiển thị các sản phẩm thỏa đồng thời tất cả điều kiện đã nhập/chọn</t>
  </si>
  <si>
    <t>Kiểm tra CP chỉ xem được sản phẩm thuộc CP đang đăng nhập</t>
  </si>
  <si>
    <t>Có 2 tài khoản CP_A và CP_B, mỗi CP có sản phẩm riêng</t>
  </si>
  <si>
    <t>1) Đăng nhập bằng CP_A
2) Vào màn hình [Danh sách sản phẩm]
3) Quan sát danh sách</t>
  </si>
  <si>
    <t>- Chỉ hiển thị sản phẩm thuộc CP_A
- Không hiển thị sản phẩm thuộc CP_B</t>
  </si>
  <si>
    <t>Kiểm tra hiển thị icon [Xem chi tiết sản phẩm] theo [Trạng thái]</t>
  </si>
  <si>
    <t>CP đang ở màn hình [Danh sách sản phẩm] và có sản phẩm ở các trạng thái liên quan</t>
  </si>
  <si>
    <t>1) Quan sát cột [Thao tác] theo từng [Trạng thái]</t>
  </si>
  <si>
    <t>- Icon [Xem chi tiết sản phẩm] hiển thị khi [Trạng thái] là:
- [Chờ duyệt]
- [Từ chối]
- [Đang nghiệm thu]
- [Chờ duyệt nghiệm thu]
- [Chờ launching]
- [Đã launching]
- [Dừng kinh doanh]</t>
  </si>
  <si>
    <t>Kiểm tra hiển thị icon [Chỉnh sửa sản phẩm] theo [Trạng thái]</t>
  </si>
  <si>
    <t>- Icon [Chỉnh sửa sản phẩm] hiển thị khi [Trạng thái] là:
- [Chờ duyệt]
- [Từ chối]
- Đang nghiệm thu
- [Chờ duyệt nghiệm thu]</t>
  </si>
  <si>
    <t>Kiểm tra hiển thị icon [Upload file kết quả nghiệm thu] theo [Trạng thái]</t>
  </si>
  <si>
    <t>CP đang ở màn hình [Danh sách sản phẩm] và có sản phẩm ở nhiều trạng thái</t>
  </si>
  <si>
    <t>1) Quan sát sản phẩm ở trạng thái [Đang nghiệm thu]
2) Quan sát sản phẩm ở trạng thái khác [Đang nghiệm thu]</t>
  </si>
  <si>
    <t>- Trạng thái [Đang nghiệm thu]: hiển thị icon [Upload file kết quả nghiệm thu]
- Trạng thái khác [Đang nghiệm thu]: không hiển thị icon [Upload file kết quả nghiệm thu]</t>
  </si>
  <si>
    <t>Xem chi tiết sản phẩm</t>
  </si>
  <si>
    <t>Kiểm tra điều hướng vào màn hình [Xem chi tiết sản phẩm] từ màn hình [Danh sách sản phẩm]</t>
  </si>
  <si>
    <t>CP đã đăng nhập và đang ở màn hình [Danh sách sản phẩm], có tối thiểu 1 sản phẩm hiển thị icon [Xem chi tiết sản phẩm]</t>
  </si>
  <si>
    <t>1) Bấm icon [Xem chi tiết sản phẩm] tại 1 sản phẩm bất kỳ</t>
  </si>
  <si>
    <t>- Điều hướng sang màn hình [Xem chi tiết sản phẩm]
- Thông tin hiển thị thuộc đúng sản phẩm vừa chọn</t>
  </si>
  <si>
    <t>Kiểm tra actor thực hiện chức năng [Xem chi tiết sản phẩm] là CP</t>
  </si>
  <si>
    <t>CP đã đăng nhập</t>
  </si>
  <si>
    <t>1) Truy cập [Danh sách sản phẩm]
2) Bấm icon [Xem chi tiết sản phẩm]</t>
  </si>
  <si>
    <t>- CP truy cập và xem chi tiết sản phẩm thành công</t>
  </si>
  <si>
    <t>Kiểm tra không hiển thị button [Nhập kho] trên màn hình [Xem chi tiết sản phẩm]</t>
  </si>
  <si>
    <t>CP đang ở màn hình [Xem chi tiết sản phẩm]</t>
  </si>
  <si>
    <t>1) Quan sát khu vực thao tác (action) trên màn hình</t>
  </si>
  <si>
    <t>- Không hiển thị button [Nhập kho] trên màn hình [Xem chi tiết sản phẩm]</t>
  </si>
  <si>
    <t>Kiểm tra hiển thị trạng thái [Gói sub] khi sản phẩm được cấu hình “Tick”</t>
  </si>
  <si>
    <t>CP đang ở màn hình [Xem chi tiết sản phẩm] của sản phẩm đã được cấu hình “Tick” [Gói sub] khi tạo mới</t>
  </si>
  <si>
    <t>1) Quan sát thông tin [Gói sub]</t>
  </si>
  <si>
    <t>- Hiển thị thông tin [Gói sub]
- Thể hiện sản phẩm là “Gói tự động gia hạn”</t>
  </si>
  <si>
    <t>Kiểm tra hiển thị trạng thái [Gói sub] khi sản phẩm được cấu hình “Bỏ tick”</t>
  </si>
  <si>
    <t>CP đang ở màn hình [Xem chi tiết sản phẩm] của sản phẩm đã được cấu hình “Bỏ tick” [Gói sub] khi tạo mới</t>
  </si>
  <si>
    <t>- Hiển thị thông tin [Gói sub]
- Thể hiện sản phẩm “Không tự động gia hạn”</t>
  </si>
  <si>
    <t>Kiểm tra [Gói sub] chỉ hiển thị, không cho phép sửa trên màn hình [Xem chi tiết sản phẩm]</t>
  </si>
  <si>
    <t>1) Quan sát khu vực [Gói sub]
2) Thử tương tác để chỉnh sửa (nếu có UI input)</t>
  </si>
  <si>
    <t>- [Gói sub] chỉ hiển thị thông tin (read-only)
- Không cho phép sửa giá trị [Gói sub]</t>
  </si>
  <si>
    <t>Kiểm tra hiển thị [Khuyến mại] theo công thức khi [Giá gốc] &gt; 0</t>
  </si>
  <si>
    <t>CP đang ở màn hình [Xem chi tiết sản phẩm] của sản phẩm có [Giá gốc] &gt; 0 và có [Giá sau khuyến mại]</t>
  </si>
  <si>
    <t>1) Ghi nhận [Giá gốc]
2) Ghi nhận [Giá sau khuyến mại]
3) Tính (Giá gốc – Giá sau khuyến mại) / Giá gốc (%)
4) So sánh với [Khuyến mại] hiển thị</t>
  </si>
  <si>
    <t>- [Khuyến mại] hiển thị đúng theo công thức</t>
  </si>
  <si>
    <t>Kiểm tra hiển thị button [Cập nhật] khi sản phẩm chưa được gán đơn hàng</t>
  </si>
  <si>
    <t>CP đang ở màn hình [Xem chi tiết sản phẩm] của sản phẩm chưa được gán đơn hàng</t>
  </si>
  <si>
    <t>1) Quan sát khu vực thao tác (action)</t>
  </si>
  <si>
    <t>- Hiển thị button [Cập nhật]</t>
  </si>
  <si>
    <t>Kiểm tra điều hướng khi bấm button [Cập nhật]</t>
  </si>
  <si>
    <t>CP đang ở màn hình [Xem chi tiết sản phẩm] và có hiển thị button [Cập nhật]</t>
  </si>
  <si>
    <t>1) Bấm button [Cập nhật]</t>
  </si>
  <si>
    <t>- Điều hướng sang màn hình [Cập nhật sản phẩm]</t>
  </si>
  <si>
    <t>Kiểm tra xử lý khi sản phẩm đang được gán đơn hàng (không cho phép cập nhật)</t>
  </si>
  <si>
    <t>CP đang ở màn hình [Xem chi tiết sản phẩm] của sản phẩm đang được gán đơn hàng</t>
  </si>
  <si>
    <t>1) Quan sát khu vực thao tác (action)
2) Thực hiện thao tác cập nhật (nếu có)</t>
  </si>
  <si>
    <t>- Hiển thị thông báo sản phẩm đang được gán với đơn hàng
- Không cho phép cập nhật thông tin sản phẩm</t>
  </si>
  <si>
    <t>Thêm mới sản phẩm</t>
  </si>
  <si>
    <t>Kiểm tra màn chọn loại sản phẩm</t>
  </si>
  <si>
    <r>
      <rPr>
        <rFont val="Times New Roman"/>
        <color rgb="FF000000"/>
        <sz val="12.0"/>
      </rPr>
      <t xml:space="preserve">Loại sản phẩm ( droplist): Sản phẩm nội dung, Sản phẩm viễn thông
Button: Hủy, Tiếp tục
</t>
    </r>
    <r>
      <rPr>
        <rFont val="Times New Roman"/>
        <color rgb="FF0000FF"/>
        <sz val="12.0"/>
        <u/>
      </rPr>
      <t>https://prnt.sc/AjAoDA-p42Xw</t>
    </r>
  </si>
  <si>
    <t>Thêm mới sản phẩm nội dung</t>
  </si>
  <si>
    <t>Kiểm tra truy cập màn hình Thêm mới sản phẩm từ Danh sách sản phẩm</t>
  </si>
  <si>
    <t>CP đã đăng nhập và đang ở màn hình Danh sách sản phẩm</t>
  </si>
  <si>
    <t>1. Click Thêm mới</t>
  </si>
  <si>
    <t>Hiển thị màn hình Thêm mới sản phẩm</t>
  </si>
  <si>
    <t>Kiểm tra hiển thị mặc định trường Nhà cung cấp/Đối tác</t>
  </si>
  <si>
    <t>CP đã đăng nhập và mở màn hình Thêm mới sản phẩm nội dung</t>
  </si>
  <si>
    <t>1. Quan sát trường Nhà cung cấp/Đối tác</t>
  </si>
  <si>
    <t>Trường Nhà cung cấp/Đối tác hiển thị theo tài khoản CP đăng nhập và không cho chỉnh sửa</t>
  </si>
  <si>
    <t>Kiểm tra hiển thị danh sách Nhóm sản phẩm</t>
  </si>
  <si>
    <t>1. Click chọn Nhóm sản phẩm</t>
  </si>
  <si>
    <t>Hiển thị danh sách nhóm sản phẩm theo cấu hình hệ thống</t>
  </si>
  <si>
    <t>Kiểm tra không cho lưu khi để trống Tên sản phẩm</t>
  </si>
  <si>
    <t>1. Không nhập Tên sản phẩm
2. Click Lưu</t>
  </si>
  <si>
    <t>Hiển thị thông báo lỗi yêu cầu nhập Tên sản phẩm</t>
  </si>
  <si>
    <t>Kiểm tra nhập Tên sản phẩm với độ dài tối đa cho phép</t>
  </si>
  <si>
    <t>1. Nhập Tên sản phẩm đúng độ dài cho phép
2. Click Lưu</t>
  </si>
  <si>
    <t>Hệ thống cho phép lưu dữ liệu</t>
  </si>
  <si>
    <t>Kiểm tra không cho nhập Tên sản phẩm vượt quá độ dài cho phép</t>
  </si>
  <si>
    <t>1. Nhập Tên sản phẩm vượt độ dài cho phép</t>
  </si>
  <si>
    <t>Hệ thống hiển thị cảnh báo</t>
  </si>
  <si>
    <t>DEV: Quá tự cắt</t>
  </si>
  <si>
    <t>Kiểm tra không cho lưu khi Tên sản phẩm đã tồn tại</t>
  </si>
  <si>
    <t>1. Nhập Tên sản phẩm đã tồn tại
2. Click Lưu</t>
  </si>
  <si>
    <t>Hiển thị thông báo Tên sản phẩm đã tồn tại</t>
  </si>
  <si>
    <t>Kiểm tra không cho lưu khi không chọn Nhóm sản phẩm</t>
  </si>
  <si>
    <t>1. Không chọn Nhóm sản phẩm
2. Click Lưu</t>
  </si>
  <si>
    <t>Hiển thị thông báo lỗi</t>
  </si>
  <si>
    <t>Kiểm tra không cho lưu khi để trống Mã sản phẩm</t>
  </si>
  <si>
    <t>1. Không nhập Mã sản phẩm
2. Click Lưu</t>
  </si>
  <si>
    <t>Kiểm tra nhập Mã sản phẩm với độ dài tối đa cho phép</t>
  </si>
  <si>
    <t>1. Nhập Mã sản phẩm đúng độ dài cho phép
2. Click Lưu</t>
  </si>
  <si>
    <t>Kiểm tra không cho nhập Mã sản phẩm vượt quá độ dài cho phép</t>
  </si>
  <si>
    <t>1. Nhập Mã sản phẩm vượt độ dài cho phép</t>
  </si>
  <si>
    <t>Hiển thị cảnh báo</t>
  </si>
  <si>
    <t>DEV đã chặn</t>
  </si>
  <si>
    <t>Kiểm tra không cho lưu khi Mã sản phẩm đã tồn tại</t>
  </si>
  <si>
    <t>1. Nhập Mã sản phẩm đã tồn tại
2. Click Lưu</t>
  </si>
  <si>
    <t>Hiển thị thông báo Mã sản phẩm đã tồn tại</t>
  </si>
  <si>
    <t>Kiểm tra không cho lưu khi để trống Chu kỳ</t>
  </si>
  <si>
    <t>1. Không nhập Chu kỳ
2. Click Lưu</t>
  </si>
  <si>
    <t>Kiểm tra trường Chu kỳ chỉ cho phép nhập số</t>
  </si>
  <si>
    <t>1. Nhập ký tự không phải số
2. Click Lưu</t>
  </si>
  <si>
    <t>Kiểm tra nhập Chu kỳ với độ dài tối đa cho phép</t>
  </si>
  <si>
    <t>1. Nhập Chu kỳ đúng độ dài cho phép
2. Click Lưu</t>
  </si>
  <si>
    <t>Kiểm tra không cho nhập Chu kỳ vượt quá độ dài cho phép</t>
  </si>
  <si>
    <t>1. Nhập Chu kỳ vượt độ dài cho phép</t>
  </si>
  <si>
    <t>Kiểm tra không cho lưu khi không chọn Đơn vị chu kỳ</t>
  </si>
  <si>
    <t>1. Không chọn Đơn vị chu kỳ
2. Click Lưu</t>
  </si>
  <si>
    <t>Kiểm tra hiển thị danh sách Đơn vị chu kỳ</t>
  </si>
  <si>
    <t>1. Click chọn Đơn vị chu kỳ</t>
  </si>
  <si>
    <t>Hiển thị danh sách theo cấu hình</t>
  </si>
  <si>
    <t>Kiểm tra không cho lưu khi để trống Giá gốc</t>
  </si>
  <si>
    <t>1. Không nhập Giá gốc
2. Click Lưu</t>
  </si>
  <si>
    <t>Kiểm tra trường Giá gốc chỉ cho phép nhập số</t>
  </si>
  <si>
    <t>Kiểm tra nhập Giá gốc với độ dài tối đa cho phép</t>
  </si>
  <si>
    <t>1. Nhập Giá gốc đúng độ dài cho phép
2. Click Lưu</t>
  </si>
  <si>
    <t>Kiểm tra không cho nhập Giá gốc vượt quá độ dài cho phép</t>
  </si>
  <si>
    <t>1. Nhập Giá gốc vượt độ dài cho phép</t>
  </si>
  <si>
    <t>Kiểm tra trường Giá sau khuyến mại chỉ cho phép nhập số</t>
  </si>
  <si>
    <t>Kiểm tra không cho lưu khi Giá sau khuyến mại lớn hơn Giá gốc</t>
  </si>
  <si>
    <t>1. Nhập Giá sau khuyến mại lớn hơn Giá gốc
2. Click Lưu</t>
  </si>
  <si>
    <t>Kiểm tra không cho lưu khi để trống Mô tả ngắn</t>
  </si>
  <si>
    <t>1. Không nhập Mô tả ngắn
2. Click Lưu</t>
  </si>
  <si>
    <t>Kiểm tra giới hạn ký tự của Mô tả ngắn</t>
  </si>
  <si>
    <t>1. Nhập Mô tả ngắn đúng giới hạn</t>
  </si>
  <si>
    <t>Hệ thống cho phép nhập</t>
  </si>
  <si>
    <t>Kiểm tra không cho lưu khi để trống Mô tả đầy đủ</t>
  </si>
  <si>
    <t>1. Không nhập Mô tả đầy đủ
2. Click Lưu</t>
  </si>
  <si>
    <t>Kiểm tra giới hạn ký tự của Mô tả đầy đủ</t>
  </si>
  <si>
    <t>1. Nhập Mô tả đầy đủ đúng giới hạn</t>
  </si>
  <si>
    <t>Kiểm tra không cho lưu khi không chọn Kiểu nhập kho</t>
  </si>
  <si>
    <t>1. Không chọn Kiểu nhập kho
2. Click Lưu</t>
  </si>
  <si>
    <t>Kiểm tra không cho lưu khi không chọn Hình thức gửi hàng</t>
  </si>
  <si>
    <t>1. Không chọn Hình thức gửi hàng
2. Click Lưu</t>
  </si>
  <si>
    <t>Kiểm tra giá trị mặc định của Hình thức thanh toán</t>
  </si>
  <si>
    <t>1. Quan sát Hình thức thanh toán</t>
  </si>
  <si>
    <t>Giá trị mặc định là Tất cả</t>
  </si>
  <si>
    <t>Kiểm tra lưu thành công khi chọn một Hình thức thanh toán</t>
  </si>
  <si>
    <t>1. Chọn một Hình thức thanh toán
2. Nhập đầy đủ dữ liệu hợp lệ
3. Click Lưu</t>
  </si>
  <si>
    <t>Hệ thống lưu dữ liệu thành công</t>
  </si>
  <si>
    <t>Kiểm tra lưu thành công khi chọn nhiều Hình thức thanh toán</t>
  </si>
  <si>
    <t>1. Chọn nhiều Hình thức thanh toán
2. Nhập đầy đủ dữ liệu hợp lệ
3. Click Lưu</t>
  </si>
  <si>
    <t>Kiểm tra không cho upload Ảnh đại diện vượt dung lượng cho phép</t>
  </si>
  <si>
    <t>1. Upload ảnh vượt dung lượng</t>
  </si>
  <si>
    <t>Kiểm tra chức năng Hủy trên màn hình Thêm mới sản phẩm</t>
  </si>
  <si>
    <t>1. Click Hủy</t>
  </si>
  <si>
    <t>Quay về màn hình Danh sách sản phẩm</t>
  </si>
  <si>
    <t>Kiểm tra thêm mới sản phẩm nội dung thành công</t>
  </si>
  <si>
    <t>1. Nhập đầy đủ dữ liệu hợp lệ
2. Click Lưu</t>
  </si>
  <si>
    <t>Hiển thị thông báo thêm mới sản phẩm thành công</t>
  </si>
  <si>
    <t>Kiểm tra gửi Email/SMS thông báo sau khi thêm mới sản phẩm thành công</t>
  </si>
  <si>
    <t>CP đã đăng nhập và đã thêm mới sản phẩm nội dung thành công</t>
  </si>
  <si>
    <t>1. Thực hiện thêm mới sản phẩm</t>
  </si>
  <si>
    <t>Hệ thống gửi Email/SMS thông báo</t>
  </si>
  <si>
    <t>Test sau trên Product</t>
  </si>
  <si>
    <t>Kiểm tra trạng thái mặc định của Sản phẩm tự động gia hạn</t>
  </si>
  <si>
    <t>1. Quan sát Sản phẩm tự động gia hạn</t>
  </si>
  <si>
    <t>Trạng thái mặc định là không chọn</t>
  </si>
  <si>
    <t>Kiểm tra thao tác chọn và bỏ chọn Sản phẩm tự động gia hạn</t>
  </si>
  <si>
    <t>1. Chọn Sản phẩm tự động gia hạn
2. Bỏ chọn Sản phẩm tự động gia hạn</t>
  </si>
  <si>
    <t>Hệ thống ghi nhận đúng thao tác</t>
  </si>
  <si>
    <t>Thêm mới sản phẩm viễn thông</t>
  </si>
  <si>
    <t>Kiểm tra không cho lưu khi để trống Thuê bao nghiệm thu</t>
  </si>
  <si>
    <t>CP đã đăng nhập và mở màn hình Thêm mới sản phẩm viễn thông</t>
  </si>
  <si>
    <t>1. Không nhập Thuê bao nghiệm thu
2. Click Lưu</t>
  </si>
  <si>
    <t>Kiểm tra bắt buộc nhập và định dạng của Đầu số gửi MT</t>
  </si>
  <si>
    <t>1. Không nhập Đầu số gửi MT
2. Click Lưu
3. Nhập sai định dạng</t>
  </si>
  <si>
    <t>Kiểm tra không cho lưu khi không chọn Loại tích hợp</t>
  </si>
  <si>
    <t>1. Không chọn Loại tích hợp
2. Click Lưu</t>
  </si>
  <si>
    <t>Kiểm tra không cho lưu khi không chọn Loại trừ cước</t>
  </si>
  <si>
    <t>1. Không chọn Loại trừ cước
2. Click Lưu</t>
  </si>
  <si>
    <t>Kiểm tra không cho lưu khi không chọn Quyền lợi Data</t>
  </si>
  <si>
    <t>1. Không chọn Quyền lợi Data
2. Click Lưu</t>
  </si>
  <si>
    <t>Kiểm tra bắt buộc nhập và định dạng của Số lần gọi retry gia hạn</t>
  </si>
  <si>
    <t>1. Không nhập giá trị
2. Nhập giá trị không hợp lệ</t>
  </si>
  <si>
    <t>Kiểm tra bắt buộc nhập và định dạng của Khoảng cách giữa các lần retry</t>
  </si>
  <si>
    <t>Kiểm tra giá trị mặc định của Thông báo khi data vẫn còn</t>
  </si>
  <si>
    <t>1. Quan sát Thông báo khi data vẫn còn</t>
  </si>
  <si>
    <t>Giá trị mặc định theo cấu hình hệ thống</t>
  </si>
  <si>
    <t>Kiểm tra giá trị mặc định của Sản phẩm tự động gia hạn</t>
  </si>
  <si>
    <t>Kiểm tra giá trị mặc định của Không cho đăng ký 1 gói nhiều lần</t>
  </si>
  <si>
    <t>1. Quan sát Không cho đăng ký 1 gói nhiều lần</t>
  </si>
  <si>
    <t>Kiểm tra giá trị mặc định của Cho phép chuyển đổi sản phẩm cùng nội dung</t>
  </si>
  <si>
    <t>1. Quan sát Cho phép chuyển đổi sản phẩm cùng nội dung</t>
  </si>
  <si>
    <t>Kiểm tra thêm mới sản phẩm viễn thông thành công</t>
  </si>
  <si>
    <t>Kiểm tra hành vi hệ thống khi reload trang trong lúc đang nhập dữ liệu</t>
  </si>
  <si>
    <t>1. Nhập một phần dữ liệu
2. Reload trang</t>
  </si>
  <si>
    <t>Hệ thống xử lý theo thiết kế</t>
  </si>
  <si>
    <t>Cập nhật  sản phẩm</t>
  </si>
  <si>
    <t>Cập nhật  sản phẩm nội dung</t>
  </si>
  <si>
    <t>Kiểm tra truy cập màn hình Cập nhật sản phẩm từ Danh sách sản phẩm</t>
  </si>
  <si>
    <t>1. Chọn một sản phẩm nội dung
2. Click Cập nhật</t>
  </si>
  <si>
    <t>Hiển thị màn hình Cập nhật sản phẩm</t>
  </si>
  <si>
    <t>Kiểm tra hiển thị thông tin sản phẩm khi mở màn hình Cập nhật</t>
  </si>
  <si>
    <t>CP đã đăng nhập và mở màn hình Cập nhật sản phẩm nội dung</t>
  </si>
  <si>
    <t>1. Quan sát các trường thông tin</t>
  </si>
  <si>
    <t>Hiển thị đầy đủ thông tin sản phẩm đã lưu</t>
  </si>
  <si>
    <t>Kiểm tra trường Nhà cung cấp/Đối tác không cho chỉnh sửa khi cập nhật</t>
  </si>
  <si>
    <t>Trường Nhà cung cấp/Đối tác không cho chỉnh sửa</t>
  </si>
  <si>
    <t>1. Xóa Tên sản phẩm
2. Click Lưu</t>
  </si>
  <si>
    <t>Fill sẵn và disable =&gt; chấp nhận</t>
  </si>
  <si>
    <t>Kiểm tra không cho lưu khi Tên sản phẩm bị trùng</t>
  </si>
  <si>
    <t>1. Sửa Tên sản phẩm trùng với sản phẩm khác
2. Click Lưu</t>
  </si>
  <si>
    <t>1. Xóa Mã sản phẩm
2. Click Lưu</t>
  </si>
  <si>
    <t>Kiểm tra không cho lưu khi Mã sản phẩm bị trùng</t>
  </si>
  <si>
    <t>1. Sửa Mã sản phẩm trùng với sản phẩm khác
2. Click Lưu</t>
  </si>
  <si>
    <t>1. Bỏ chọn Nhóm sản phẩm
2. Click Lưu</t>
  </si>
  <si>
    <t>1. Xóa Chu kỳ
2. Click Lưu</t>
  </si>
  <si>
    <t>Kiểm tra không cho lưu khi nhập Chu kỳ không hợp lệ</t>
  </si>
  <si>
    <t>1. Bỏ chọn Đơn vị chu kỳ
2. Click Lưu</t>
  </si>
  <si>
    <t>1. Xóa Giá gốc
2. Click Lưu</t>
  </si>
  <si>
    <t>1. Xóa Mô tả ngắn
2. Click Lưu</t>
  </si>
  <si>
    <t>1. Xóa Mô tả đầy đủ
2. Click Lưu</t>
  </si>
  <si>
    <t>Kiểm tra không cho lưu khi chưa upload Ảnh đại diện</t>
  </si>
  <si>
    <t>1. Xóa Ảnh đại diện hiện tại
2. Click Lưu</t>
  </si>
  <si>
    <t>Kiểm tra cập nhật thành công sản phẩm nội dung</t>
  </si>
  <si>
    <t>1. Chỉnh sửa thông tin hợp lệ
2. Click Lưu</t>
  </si>
  <si>
    <t>Hiển thị thông báo cập nhật sản phẩm thành công</t>
  </si>
  <si>
    <t>Kiểm tra chức năng Hủy trên màn hình Cập nhật sản phẩm</t>
  </si>
  <si>
    <t>Kiểm tra hiển thị trạng thái sản phẩm sau khi cập nhật</t>
  </si>
  <si>
    <t>CP đã đăng nhập và vừa cập nhật sản phẩm nội dung</t>
  </si>
  <si>
    <t>1. Quan sát trạng thái sản phẩm</t>
  </si>
  <si>
    <t>Trạng thái hiển thị theo quy định</t>
  </si>
  <si>
    <t>Kiểm tra dữ liệu được lưu đúng sau khi cập nhật</t>
  </si>
  <si>
    <t>CP đã đăng nhập và đã cập nhật sản phẩm nội dung thành công</t>
  </si>
  <si>
    <t>1. Mở lại sản phẩm vừa cập nhật</t>
  </si>
  <si>
    <t>Dữ liệu hiển thị đúng theo thông tin đã lưu</t>
  </si>
  <si>
    <t>Cập nhật  sản phẩm viễn thông</t>
  </si>
  <si>
    <t>Kiểm tra truy cập màn hình Cập nhật sản phẩm viễn thông</t>
  </si>
  <si>
    <t>1. Chọn một sản phẩm viễn thông
2. Click Cập nhật</t>
  </si>
  <si>
    <t>Kiểm tra hiển thị thông tin sản phẩm viễn thông khi cập nhật</t>
  </si>
  <si>
    <t>CP đã đăng nhập và mở màn hình Cập nhật sản phẩm viễn thông</t>
  </si>
  <si>
    <t>1. Xóa Thuê bao nghiệm thu
2. Click Lưu</t>
  </si>
  <si>
    <t>Kiểm tra không cho lưu khi Thuê bao nghiệm thu không hợp lệ</t>
  </si>
  <si>
    <t>1. Nhập Thuê bao nghiệm thu không hợp lệ
2. Click Lưu</t>
  </si>
  <si>
    <t>1. Bỏ chọn Loại tích hợp
2. Click Lưu</t>
  </si>
  <si>
    <t>1. Bỏ chọn Quyền lợi Data
2. Click Lưu</t>
  </si>
  <si>
    <t>Kiểm tra cập nhật thành công sản phẩm viễn thông</t>
  </si>
  <si>
    <t>Kiểm tra cập nhật và lưu thay đổi Số lần gọi retry gia hạn</t>
  </si>
  <si>
    <t>1. Thay đổi Số lần gọi retry gia hạn
2. Click Lưu</t>
  </si>
  <si>
    <t>Kiểm tra cập nhật và lưu thay đổi Khoảng cách giữa các lần retry</t>
  </si>
  <si>
    <t>1. Thay đổi Khoảng cách giữa các lần retry
2. Click Lưu</t>
  </si>
  <si>
    <t>CP đã đăng nhập và đã cập nhật sản phẩm viễn thông thành công</t>
  </si>
  <si>
    <t>Kiểm tra hành vi hệ thống khi reload trang trong lúc cập nhật</t>
  </si>
  <si>
    <t>1. Chỉnh sửa dữ liệu
2. Reload trang</t>
  </si>
  <si>
    <t>Kiểm tra không cho chỉnh sửa các trường bị khóa khi cập nhật</t>
  </si>
  <si>
    <t>1. Quan sát các trường bị khóa</t>
  </si>
  <si>
    <t>Các trường bị khóa không cho chỉnh sửa: Tên sản phẩm</t>
  </si>
  <si>
    <t>Duyệt sản phẩm</t>
  </si>
  <si>
    <t>Kiểm tra nút Duyệt sản phẩm</t>
  </si>
  <si>
    <t>Admin đăng nhập vào hệ thống
CP A đã nhập sản phẩm</t>
  </si>
  <si>
    <t>1. Vào Quản lý sản phẩm
2. Kiểm tra bảng list danh sách của CP A</t>
  </si>
  <si>
    <t>Trên danh sách sản phẩm có sản phẩm của CP A vừa nhập có hiển thị nút Duyệt</t>
  </si>
  <si>
    <t>Màn hình Duyệt</t>
  </si>
  <si>
    <t>1. Vào Quản lý sản phẩm
2. Chọn sản phẩm, ấn nút Duyệt</t>
  </si>
  <si>
    <t>Hiển thị màn hình Duyệt sản phẩm: gồm các thông tin: Thành phân phân chia doanh thu và Tỷ lệ phân chia doanh thu. Nút Duyệt, nút Từ chối</t>
  </si>
  <si>
    <t>Duyệt thành công</t>
  </si>
  <si>
    <t>Admin đăng nhập vào hệ thống
CP A đã nhập sản phẩm
CP đã có BB đàm phán</t>
  </si>
  <si>
    <t>1. Vào Quản lý sản phẩm
2. Chọn sản phẩm, ấn nút Duyệt
3. Nhập các thông tin và ấn nút Duyệt</t>
  </si>
  <si>
    <t>Thông báo Duyệt thành công, trở về màn hình danh sách, sản phẩm chuyển trạng thái Đang nghiệm thu</t>
  </si>
  <si>
    <t>Duyệt không thành công</t>
  </si>
  <si>
    <t>1. Vào Quản lý sản phẩm
2. Chọn sản phẩm, ấn nút Duyệt
3. Nhập các thông tin không đúng và ấn nút Duyệt</t>
  </si>
  <si>
    <t>Thông báo nhập lại tỷ lệ phân chia Doanh thu</t>
  </si>
  <si>
    <t>Duyệt không thành công, do chưa có BB đàm phán</t>
  </si>
  <si>
    <t>Admin đăng nhập vào hệ thống
CP A đã nhập sản phẩm
CP chưa có BB đàm phán</t>
  </si>
  <si>
    <t>Thông báo Phải có Biên bản đàm phán</t>
  </si>
  <si>
    <t>Từ chối</t>
  </si>
  <si>
    <t>1. Vào Quản lý sản phẩm
2. Chọn sản phẩm, ấn nút Duyệt
3. Ấn nút Từ chối</t>
  </si>
  <si>
    <t>Yêu cầu nhập nội dung từ chối</t>
  </si>
  <si>
    <t>Từ chối thành công</t>
  </si>
  <si>
    <t>Tiếp bước trên
4. Nhập nội dung từ chối
5. Ấn nút từ chối</t>
  </si>
  <si>
    <t>Trở về danh sách sản phẩm, sản phẩm chuyển trạng thái thành Từ chối</t>
  </si>
  <si>
    <t>Duyệt nghiệm thu sản phẩm</t>
  </si>
  <si>
    <t xml:space="preserve">Kiểm tra icon duyệt nghiệm thu </t>
  </si>
  <si>
    <t>Chọn sản phẩm đã có kết quả test</t>
  </si>
  <si>
    <t>1. Vào Quản lý sản phẩm
2. Chọn sản phẩm, ấn nút Duyệt nghiệm thu sản phẩm</t>
  </si>
  <si>
    <t xml:space="preserve">Hiển thị popup: - Bạn có muốn xác thực kết quả nghiệm thu
của sản phẩm &lt;Tên sản phẩm&gt;?
- Lý do
- Button: Chấp nhận, Từ chối
</t>
  </si>
  <si>
    <t>Kiểm tra luồng duyệt nghiệm thu sản phẩm</t>
  </si>
  <si>
    <t>1. Vào Quản lý sản phẩm
2. Chọn sản phẩm, ấn nút Duyệt nghiệm thu sản phẩm
3. Bấm button Chấp nhận</t>
  </si>
  <si>
    <t>Duyệt nghiệm thu thành công</t>
  </si>
  <si>
    <t>Kiểm tra trạng thái của sản phẩm sau khi duyệt thành công</t>
  </si>
  <si>
    <t>1. Vào danh sách sản phẩm
2. Kiểm tra trạng thái sản phẩm vừa duyệt</t>
  </si>
  <si>
    <t>Sản phẩm chuyển về trạng thái "Chờ launching"</t>
  </si>
  <si>
    <t>Kiểm tra luồng từ chối duyệt nghiệm thu sản phẩm</t>
  </si>
  <si>
    <t>1. Vào Quản lý sản phẩm
2. Chọn sản phẩm, ấn nút Duyệt nghiệm thu sản phẩm
3. Nhập đẩy đủ thông tin lý do 
4. Bấm Từ chối</t>
  </si>
  <si>
    <t>Từ chối duyệt nghiệm thu sản phẩm thành công</t>
  </si>
  <si>
    <t>Từ chối không thành công do bỏ trống trường lý do</t>
  </si>
  <si>
    <t>1. Vào Quản lý sản phẩm
2. Chọn sản phẩm, ấn nút Duyệt nghiệm thu sản phẩm
3. Bỏ trống thông tin lý do 
4. Bấm Từ chối</t>
  </si>
  <si>
    <t>Hiển thị thông báo lỗi vì trống trường lý do</t>
  </si>
  <si>
    <t>Duyệt lauching sản phẩm</t>
  </si>
  <si>
    <t xml:space="preserve">Kiểm tra icon duyệt launching sản phẩm </t>
  </si>
  <si>
    <t>Chọn sản phẩm có trạng thái "Chờ launching"</t>
  </si>
  <si>
    <t>1. Vào Quản lý sản phẩm
2. Chọn sản phẩm, ấn nút Duyệt lauching sản phẩm</t>
  </si>
  <si>
    <t>Hiển thị popup: - Bạn có muốn xác nhận launching sản phẩm &lt;Tên sản phẩm&gt;?
- Button: Duyệt, Từ chối</t>
  </si>
  <si>
    <t>Kiểm tra tính năng duyệt</t>
  </si>
  <si>
    <t>1. Vào Quản lý sản phẩm
2. Chọn sản phẩm, ấn nút Duyệt lauching sản phẩm
3. Chọn Duyệt</t>
  </si>
  <si>
    <t>Kiểm tra trạng thái sản phẩm sau khi Duyệt launching sản phẩm thành công</t>
  </si>
  <si>
    <t>Chuyển sang trạng thái " Đã launching"</t>
  </si>
  <si>
    <t>Kiểm tra tính năng hủy duyệt launching</t>
  </si>
  <si>
    <t>1. Vào Quản lý sản phẩm
2. Chọn sản phẩm, ấn nút Duyệt lauching sản phẩm
3. Chọn Từ chối</t>
  </si>
  <si>
    <t>Không thực hiện duyệt Lauching sản phẩm</t>
  </si>
  <si>
    <t>Xem danh sách hồ sơ</t>
  </si>
  <si>
    <t>Kiểm tra truy cập màn hình Danh sách hồ sơ</t>
  </si>
  <si>
    <t>CP có tài khoản và quyền truy cập CMS</t>
  </si>
  <si>
    <t>1) Đăng nhập CMS bằng tài khoản CP
2) Vào module Quản lý Hồ sơ</t>
  </si>
  <si>
    <t>- Hệ thống hiển thị màn hình Danh sách hồ sơ
- Không xuất hiện thông báo lỗi
- Hiển thị bảng danh sách hồ sơ của CP đang đăng nhập</t>
  </si>
  <si>
    <t>Kiểm tra hiển thị hồ sơ theo đúng CP đăng nhập</t>
  </si>
  <si>
    <t>Có 2 CP khác nhau, mỗi CP có ≥1 hồ sơ</t>
  </si>
  <si>
    <t>1) Login CP_A → mở danh sách
2) Ghi nhận dữ liệu hiển thị
3) Logout
4) Login CP_B → mở danh sách</t>
  </si>
  <si>
    <t>- Khi login CP_A, chỉ hiển thị các hồ sơ thuộc CP_A
- Khi login CP_B, chỉ hiển thị các hồ sơ thuộc CP_B
- Không hiển thị chéo dữ liệu giữa các CP</t>
  </si>
  <si>
    <t>Kiểm tra hiển thị các cột trên Danh sách hồ sơ</t>
  </si>
  <si>
    <t>CP có ít nhất 1 hồ sơ</t>
  </si>
  <si>
    <t>1) Mở Danh sách hồ sơ</t>
  </si>
  <si>
    <t>- Bảng hiển thị các cột: STT, Tên văn bản, Loại văn bản, Hình thức, Trạng thái hồ sơ, Ngày cập nhật cuối, tác
- Giao diện không bị thiếu hoặc lệch cột</t>
  </si>
  <si>
    <t>Kiểm tra tìm kiếm theo Tên văn bản (khớp chính xác)</t>
  </si>
  <si>
    <t>Có hồ sơ tên “Hồ sơ ABC”</t>
  </si>
  <si>
    <t>1) Nhập “Hồ sơ ABC” vào ô tìm kiếm
2) Thực hiện tìm kiếm</t>
  </si>
  <si>
    <t>- Danh sách chỉ hiển thị hồ sơ có Tên văn bản là “Hồ sơ ABC”
- Không hiển thị các hồ sơ không trùng tên</t>
  </si>
  <si>
    <t>Kiểm tra tìm kiếm theo Tên văn bản (gần đúng)</t>
  </si>
  <si>
    <t>1) Nhập “ABC” vào ô tìm kiếm
2) Thực hiện tìm kiếm</t>
  </si>
  <si>
    <t>- Danh sách hiển thị các hồ sơ có Tên văn bản chứa “ABC”
- Bao gồm hồ sơ “Hồ sơ ABC”
- Không hiển thị hồ sơ không liên quan</t>
  </si>
  <si>
    <t>Kiểm tra tìm kiếm khi không có dữ liệu phù hợp</t>
  </si>
  <si>
    <t>CP có dữ liệu hồ sơ</t>
  </si>
  <si>
    <t>1) Nhập chuỗi không tồn tại (vd: “ZZZ123”)
2) Thực hiện tìm kiếm</t>
  </si>
  <si>
    <t>- Danh sách không hiển thị bản ghi nào
- Có thể hiển thị trạng thái rỗng/không có dữ liệu
- Không phát sinh lỗi</t>
  </si>
  <si>
    <t>Kiểm tra hiển thị Ngày cập nhật cuối trên Danh sách hồ sơ</t>
  </si>
  <si>
    <t>Có hồ sơ đã được tạo hoặc chỉnh sửa</t>
  </si>
  <si>
    <t>1) Mở Danh sách</t>
  </si>
  <si>
    <t>- Cột “Ngày cập nhật cuối” hiển thị thời gian tác động gần nhất lên hồ sơ
- Thời gian hiển thị khớp với thao tác tạo hoặc chỉnh sửa gần nhất</t>
  </si>
  <si>
    <t>Kiểm tra điều hướng khi bấm button “Thêm mới hồ sơ”</t>
  </si>
  <si>
    <t>CP đang ở màn hình Danh sách hồ sơ</t>
  </si>
  <si>
    <t>1) Tại màn Danh sách hồ sơ, click button “Thêm mới hồ sơ”</t>
  </si>
  <si>
    <t>- Hệ thống điều hướng sang màn hình Thêm hồ sơ
- Hiển thị form nhập thông tin hồ sơ (Tên văn bản, Loại văn bản, Hình thức văn bản, Ghi chú)
- Hiển thị các button: Upload, Thêm hồ sơ, Hủy, Gửi phê duyệt
- Không xuất hiện thông báo lỗi</t>
  </si>
  <si>
    <t>Thêm mới hồ sơ</t>
  </si>
  <si>
    <t>Kiểm tra hiển thị màn hình Thêm hồ sơ</t>
  </si>
  <si>
    <t>CP có quyền khởi tạo hồ sơ</t>
  </si>
  <si>
    <t>1) Từ Danh sách hồ sơ, bấm button “Thêm mới hồ sơ”</t>
  </si>
  <si>
    <r>
      <rPr>
        <rFont val="Times New Roman"/>
        <color theme="1"/>
        <sz val="12.0"/>
      </rPr>
      <t xml:space="preserve">- Hệ thống hiển thị màn hình Thêm hồ sơ
- Hiển thị các trường: Tên văn bản, Loại văn bản, Hình thức văn bản, Ghi chú
- Hiển thị các button: </t>
    </r>
    <r>
      <rPr>
        <rFont val="Times New Roman"/>
        <strike/>
        <color theme="1"/>
        <sz val="12.0"/>
      </rPr>
      <t>Upload, Thêm hồ sơ</t>
    </r>
    <r>
      <rPr>
        <rFont val="Times New Roman"/>
        <color theme="1"/>
        <sz val="12.0"/>
      </rPr>
      <t>, Hủy, Gửi phê duyệt</t>
    </r>
  </si>
  <si>
    <t>Kiểm tra nhập đầy đủ thông tin trên màn Thêm hồ sơ</t>
  </si>
  <si>
    <t>CP đang ở màn Thêm hồ sơ</t>
  </si>
  <si>
    <t>1) Nhập Tên văn bản
2) Chọn Loại văn bản
3) Chọn Hình thức văn bản
4) Nhập Ghi chú</t>
  </si>
  <si>
    <t>- Các trường cho phép nhập/chọn dữ liệu bình thường
- Dữ liệu hiển thị đúng với giá trị người dùng đã nhập</t>
  </si>
  <si>
    <t>Kiểm tra lưu hồ sơ bằng button “Thêm hồ sơ”</t>
  </si>
  <si>
    <t>CP đã nhập đầy đủ thông tin và upload file</t>
  </si>
  <si>
    <t>1) Bấm button “Thêm hồ sơ”</t>
  </si>
  <si>
    <t>- Hệ thống lưu hồ sơ mới
- Điều hướng về màn Danh sách hồ sơ
- Hiển thị bản ghi hồ sơ vừa tạo trong danh sách với đầy đủ thông tin đã nhập</t>
  </si>
  <si>
    <t>Kiểm tra validate khi thiếu thông tin bắt buộc</t>
  </si>
  <si>
    <t>1) Để trống một hoặc nhiều trường bắt buộc
2) Bấm button “Thêm hồ sơ”</t>
  </si>
  <si>
    <t>- Hệ thống không lưu hồ sơ
- Hiển thị thông báo yêu cầu nhập các trường bắt buộc
- Giữ nguyên màn hình Thêm hồ sơ</t>
  </si>
  <si>
    <t>Kiểm tra popup khi bấm button “Gửi phê duyệt”</t>
  </si>
  <si>
    <t>1) Bấm button “Gửi phê duyệt”</t>
  </si>
  <si>
    <t>- Hiển thị popup xác nhận
- Nội dung: “Bạn chắc chắn muốn Gửi phê duyệt hồ sơ?”
- Có hai button: OK và Hủy</t>
  </si>
  <si>
    <t>TC_018</t>
  </si>
  <si>
    <t>Kiểm tra hủy gửi phê duyệt tại popup</t>
  </si>
  <si>
    <t>Đang hiển thị popup Gửi phê duyệt</t>
  </si>
  <si>
    <t>1) Bấm button “Hủy”</t>
  </si>
  <si>
    <t>- Popup đóng
- Giữ nguyên màn hình Thêm hồ sơ
- Dữ liệu đã nhập không bị mất</t>
  </si>
  <si>
    <t>TC_019</t>
  </si>
  <si>
    <t>Kiểm tra gửi phê duyệt hồ sơ</t>
  </si>
  <si>
    <t>1) Bấm button “Gửi phê duyệt”
2) Bấm button “OK”</t>
  </si>
  <si>
    <t>- Hồ sơ được chuyển lên Admin để phê duyệt
- Thông tin hồ sơ được lưu vào hệ thống
- Điều hướng về màn Danh sách hồ sơ
- Hồ sơ hiển thị trong danh sách với trạng thái “Chờ phê duyệt”</t>
  </si>
  <si>
    <t>TC_020</t>
  </si>
  <si>
    <t>Kiểm tra hủy thao tác Thêm hồ sơ</t>
  </si>
  <si>
    <t>- Hệ thống hủy thao tác thêm hồ sơ
- Điều hướng về màn hình trước đó (Danh sách hồ sơ hoặc Trang chủ theo thiết kế)
- Không tạo mới hồ sơ trong hệ thống</t>
  </si>
  <si>
    <t>Chỉnh sửa hồ sơ</t>
  </si>
  <si>
    <t>TC_021</t>
  </si>
  <si>
    <t>Kiểm tra điều hướng màn hình khi bấm vào button “Chỉnh sửa hồ sơ”</t>
  </si>
  <si>
    <t>CP có ít nhất 1 hồ sơ trên Danh sách</t>
  </si>
  <si>
    <t>1) Tại màn Danh sách hồ sơ, chọn thao tác “Chỉnh sửa hồ sơ”</t>
  </si>
  <si>
    <t>- Hệ thống điều hướng sang màn hình Chỉnh sửa hồ sơ
- Hiển thị đầy đủ thông tin hiện tại của hồ sơ (Tên văn bản, Loại, Hình thức, Ghi chú, file đã upload)</t>
  </si>
  <si>
    <t>TC_022</t>
  </si>
  <si>
    <t>Kiểm tra hiển thị các trường và button trên màn Chỉnh sửa hồ sơ</t>
  </si>
  <si>
    <t>CP đang ở màn Chỉnh sửa hồ sơ</t>
  </si>
  <si>
    <t>1) Quan sát giao diện màn hình</t>
  </si>
  <si>
    <r>
      <rPr>
        <rFont val="Times New Roman"/>
        <color theme="1"/>
        <sz val="12.0"/>
      </rPr>
      <t xml:space="preserve">- Hiển thị các trường: Tên văn bản, Loại văn bản, Hình thức văn bản, Ghi chú
- Hiển thị file đã upload trước đó
- Hiển thị các button: </t>
    </r>
    <r>
      <rPr>
        <rFont val="Times New Roman"/>
        <strike/>
        <color theme="1"/>
        <sz val="12.0"/>
      </rPr>
      <t>Upload</t>
    </r>
    <r>
      <rPr>
        <rFont val="Times New Roman"/>
        <color theme="1"/>
        <sz val="12.0"/>
      </rPr>
      <t>, Gửi phê duyệt, Hủy</t>
    </r>
  </si>
  <si>
    <t>Kiểm tra chỉnh sửa thông tin hồ sơ</t>
  </si>
  <si>
    <t>1) Thay đổi Tên văn bản/Ghi chú/Loại/Hình thức
2) Quan sát dữ liệu trên form</t>
  </si>
  <si>
    <t>- Các trường cho phép chỉnh sửa bình thường
- Giá trị mới hiển thị đúng theo dữ liệu CP đã nhập</t>
  </si>
  <si>
    <t>TC_025</t>
  </si>
  <si>
    <t>Kiểm tra popup khi bấm button “Gửi phê duyệt” ở màn Chỉnh sửa</t>
  </si>
  <si>
    <t>- Hiển thị popup xác nhận
- Nội dung: “Bạn chắc chắn muốn Gửi phê duyệt thông tin?”
- Có hai button: OK và Hủy</t>
  </si>
  <si>
    <t>TC_026</t>
  </si>
  <si>
    <t>Kiểm tra hủy gửi phê duyệt tại popup khi chỉnh sửa</t>
  </si>
  <si>
    <t>- Popup đóng
- Giữ nguyên màn hình Chỉnh sửa hồ sơ
- Dữ liệu đã chỉnh sửa chưa bị mất</t>
  </si>
  <si>
    <t>Kiểm tra gửi phê duyệt sau khi chỉnh sửa hồ sơ</t>
  </si>
  <si>
    <t>CP đã chỉnh sửa thông tin hợp lệ</t>
  </si>
  <si>
    <t>- Hệ thống lưu thông tin hồ sơ đã chỉnh sửa
- Điều hướng về màn Danh sách hồ sơ
- Hồ sơ hiển thị trong danh sách với trạng thái “Chờ phê duyệt”</t>
  </si>
  <si>
    <t>Kiểm tra trạng thái hồ sơ sau khi chỉnh sửa</t>
  </si>
  <si>
    <t>Có hồ sơ vừa được gửi phê duyệt sau chỉnh sửa</t>
  </si>
  <si>
    <t>1) Quay về Danh sách hồ sơ</t>
  </si>
  <si>
    <t>- Trạng thái hồ sơ hiển thị là “Chờ phê duyệt”</t>
  </si>
  <si>
    <t>Kiểm tra popup khi bấm button “Hủy” ở màn Chỉnh sửa</t>
  </si>
  <si>
    <t>- Hiển thị popup xác nhận “Bạn chắc chắn muốn hủy?”
- Có hai button: OK và Hủy</t>
  </si>
  <si>
    <t>Kiểm tra hủy thao tác hủy ở màn Chỉnh sửa</t>
  </si>
  <si>
    <t>Đang hiển thị popup “Bạn chắc chắn muốn hủy?”</t>
  </si>
  <si>
    <t>- Popup đóng
- Giữ nguyên màn hình Chỉnh sửa hồ sơ
- Trạng thái hồ sơ không thay đổi</t>
  </si>
  <si>
    <t>Kiểm tra xác nhận hủy và quay về trang chủ</t>
  </si>
  <si>
    <t>1) Bấm button “OK”</t>
  </si>
  <si>
    <t>- Hệ thống điều hướng về trang chủ
- Trạng thái hồ sơ được giữ nguyên</t>
  </si>
  <si>
    <t>Kiểm tra hiển thị popup khi bấm icon Xóa hồ sơ</t>
  </si>
  <si>
    <t>CP đang ở màn hình Danh sách hồ sơ và có ít nhất 1 hồ sơ</t>
  </si>
  <si>
    <t>1) Tại màn Danh sách hồ sơ, bấm icon Xóa của một hồ sơ</t>
  </si>
  <si>
    <t>- Hiển thị popup xác nhận xóa hồ sơ
- Nội dung popup: “Bạn có muốn xóa hồ sơ &lt;Tên hồ sơ&gt;?”
- Có hai button: Đồng ý và Hủy</t>
  </si>
  <si>
    <t>TC_033</t>
  </si>
  <si>
    <t>Kiểm tra hủy xóa hồ sơ tại popup</t>
  </si>
  <si>
    <t>Đang hiển thị popup Xóa hồ sơ</t>
  </si>
  <si>
    <t>- Popup đóng
- Hồ sơ vẫn hiển thị trên Danh sách hồ sơ
- Không có thay đổi dữ liệu</t>
  </si>
  <si>
    <t>TC_034</t>
  </si>
  <si>
    <t>Kiểm tra xóa hồ sơ ở trạng thái “Chờ duyệt”</t>
  </si>
  <si>
    <t>Có hồ sơ ở trạng thái “Chờ duyệt”</t>
  </si>
  <si>
    <t>1) Bấm icon Xóa của hồ sơ “Chờ duyệt”
2) Bấm button “Đồng ý”</t>
  </si>
  <si>
    <t>- Hồ sơ bị xóa khỏi hệ thống của CP
- Hồ sơ không còn hiển thị trên Danh sách hồ sơ</t>
  </si>
  <si>
    <t>TC_035</t>
  </si>
  <si>
    <t>Kiểm tra xóa hồ sơ ở trạng thái “Từ chối”</t>
  </si>
  <si>
    <t>Có hồ sơ ở trạng thái “Từ chối”</t>
  </si>
  <si>
    <t>1) Bấm icon Xóa của hồ sơ “Từ chối”
2) Bấm button “Đồng ý”</t>
  </si>
  <si>
    <t>Quản lý đối tác</t>
  </si>
  <si>
    <t>Thông tin đối tác</t>
  </si>
  <si>
    <t>TC_039</t>
  </si>
  <si>
    <t>Kiểm tra truy cập màn hình [Thông tin đối tác]</t>
  </si>
  <si>
    <t>CP đã đăng nhập vào CMS</t>
  </si>
  <si>
    <t>1) Truy cập menu Quản lý đối tác
2) Mở màn hình [Thông tin đối tác]</t>
  </si>
  <si>
    <t>- Hệ thống hiển thị màn hình [Thông tin đối tác]
- Không xuất hiện thông báo lỗi
- Hiển thị form thông tin đối tác của CP</t>
  </si>
  <si>
    <t>TC_040</t>
  </si>
  <si>
    <t>Kiểm tra hiển thị thông tin đối tác do Admin đã khai báo trên màn hình [Thông tin đối tác]</t>
  </si>
  <si>
    <t>CP đã đăng nhập
Admin đã khai báo thông tin đối tác cho CP</t>
  </si>
  <si>
    <t>1) Mở màn hình [Thông tin đối tác]
2) Đối chiếu các giá trị hiển thị với dữ liệu Admin đã khai báo</t>
  </si>
  <si>
    <t>- Các trường thông tin đối tác được đổ dữ liệu lên form
- Dữ liệu hiển thị đúng theo thông tin Admin đã khai báo</t>
  </si>
  <si>
    <t>TC_041</t>
  </si>
  <si>
    <t>Kiểm tra trường [Tên đối tác] trên màn hình [Thông tin đối tác]</t>
  </si>
  <si>
    <t>CP đang ở màn hình [Thông tin đối tác]</t>
  </si>
  <si>
    <t>1) Click vào trường [Tên đối tác]
2) Thử nhập/chỉnh sửa giá trị</t>
  </si>
  <si>
    <t>- Trường [Tên đối tác] ở trạng thái không chỉnh sửa (read-only/disabled)
- CP không sửa được giá trị
- Giá trị hiển thị giữ nguyên theo dữ liệu Admin đã khai báo</t>
  </si>
  <si>
    <t>TC_042</t>
  </si>
  <si>
    <t>Kiểm tra trường [Mã đối tác] trên màn hình [Thông tin đối tác]</t>
  </si>
  <si>
    <t>- Trường [Mã đối tác] ở trạng thái không chỉnh sửa (read-only/disabled)
- CP không sửa được giá trị
- Giá trị hiển thị giữ nguyên theo dữ liệu Admin đã khai báo</t>
  </si>
  <si>
    <t>TC_043</t>
  </si>
  <si>
    <t>Kiểm tra trường [Trạng thái] trên màn hình [Thông tin đối tác]</t>
  </si>
  <si>
    <t>1) Quan sát khu vực [Trạng thái]</t>
  </si>
  <si>
    <t>- Hệ thống hiển thị giá trị tại trường [Trạng thái]
- Giá trị thuộc một trong các trạng thái: Hoạt động / Tạm dừng / Chờ duyệt / Từ chối</t>
  </si>
  <si>
    <t>TC_044</t>
  </si>
  <si>
    <t>Kiểm tra hiển thị button [Cập nhật] trên màn hình [Thông tin đối tác]</t>
  </si>
  <si>
    <t>- Hiển thị button [Cập nhật] để CP thực hiện cập nhật thông tin</t>
  </si>
  <si>
    <t>TC_045</t>
  </si>
  <si>
    <t>Kiểm tra điều hướng màn hình khi bấm button [Cập nhật] từ màn hình [Thông tin đối tác]</t>
  </si>
  <si>
    <t>- Hệ thống điều hướng sang màn hình [Cập nhật thông tin đối tác]
- Không xuất hiện thông báo lỗi
- Hiển thị form cập nhật thông tin đối tác</t>
  </si>
  <si>
    <t>TC_046</t>
  </si>
  <si>
    <t>Kiểm tra button [Upload file] tại trường [Giấy ủy quyền] trên màn hình [Cập nhật thông tin đối tác]</t>
  </si>
  <si>
    <t>CP đang ở màn hình [Cập nhật thông tin đối tác]</t>
  </si>
  <si>
    <t>1) Quan sát trường [Giấy ủy quyền]
2) Bấm button [Upload file]</t>
  </si>
  <si>
    <t>- Hiển thị button [Upload file] tại trường [Giấy ủy quyền]
- Khi bấm button, hệ thống mở hộp thoại chọn file của hệ điều hành
- Người dùng có thể chọn file từ máy tính</t>
  </si>
  <si>
    <t>Cập nhật thông tin đối tác</t>
  </si>
  <si>
    <t>TC_047</t>
  </si>
  <si>
    <t>Kiểm tra truy cập màn hình [Cập nhật thông tin đối tác]</t>
  </si>
  <si>
    <t>CP đã đăng nhập CMS và đang ở màn hình [Thông tin đối tác]</t>
  </si>
  <si>
    <t>- Hệ thống điều hướng sang màn hình [Cập nhật thông tin đối tác]
- Không xuất hiện thông báo lỗi</t>
  </si>
  <si>
    <t>- Phân vùng [Thông tin CP] hiển thị các trường theo tài liệu: [Mã số thuế], [Mã hợp đồng], [Địa chỉ], [Số GP ĐKKD], [STK], [Tên ngân hàng theo hợp đồng], [Số điện thoại CSKH], [Email CSKH]</t>
  </si>
  <si>
    <t>- Phân vùng [Thông tin người đại diện] hiển thị các trường: [Họ và tên], [Số CMND/CCCD], [Số điện thoại], [Email], trường [Giấy ủy quyền] và button [Upload file], Giá hotline CP(VNĐ)</t>
  </si>
  <si>
    <t>Kiểm tra trường [Secret key] trên màn hình [Cập nhật thông tin đối tác]</t>
  </si>
  <si>
    <t>1) Click vào trường [Secret key]
2) Thử nhập/chỉnh sửa giá trị</t>
  </si>
  <si>
    <t>- Trường [Secret key] ở trạng thái disable/read-only
- CP không chỉnh sửa được giá trị</t>
  </si>
  <si>
    <t>Kiểm tra hiển thị trường [IP] trên màn hình [Cập nhật thông tin đối tác]</t>
  </si>
  <si>
    <t>1) Quan sát trường [IP]</t>
  </si>
  <si>
    <t>- Hiển thị trường [IP] trên màn hình [Cập nhật thông tin đối tác]</t>
  </si>
  <si>
    <t>A. Validate phân vùng [Thông tin CP]</t>
  </si>
  <si>
    <t>Kiểm tra giới hạn nhập của trường [Mã số thuế]</t>
  </si>
  <si>
    <t>1) Nhập chuỗi số &gt; 20 ký tự vào [Mã số thuế]</t>
  </si>
  <si>
    <t>Kiểm tra giới hạn nhập của trường [Mã hợp đồng]</t>
  </si>
  <si>
    <t>1) Nhập chuỗi &gt; 20 ký tự vào [Mã hợp đồng]</t>
  </si>
  <si>
    <t>TC_061</t>
  </si>
  <si>
    <t>TC_065</t>
  </si>
  <si>
    <t>- Hệ thống không lưu dữ liệu
- Hiển thị lỗi vượt quá 20 ký tự tại [Email CSKH]</t>
  </si>
  <si>
    <t>B. Validate phân vùng [Thông tin người đại diện]</t>
  </si>
  <si>
    <t>TC_077</t>
  </si>
  <si>
    <t>Không cho nhập ký tự chữ</t>
  </si>
  <si>
    <t>TC_078</t>
  </si>
  <si>
    <t>1) Nhập chuỗi số &gt; 13 ký tự vào [Số CMND/CCCD]</t>
  </si>
  <si>
    <t>- Hệ thống tự ngắt, chỉ nhận tối đa 13 ký tự</t>
  </si>
  <si>
    <t>1) Nhập chuỗi số &gt; 11 ký tự vào [Số điện thoại]</t>
  </si>
  <si>
    <t>- Hệ thống tự ngắt, chỉ nhận tối đa 11 ký tự</t>
  </si>
  <si>
    <t>TC_082</t>
  </si>
  <si>
    <t>1) Dán chuỗi số &gt; 11 ký tự vào [Số điện thoại]
2) Bấm button [Lưu]</t>
  </si>
  <si>
    <t>- Hệ thống không lưu dữ liệu
- Hiển thị lỗi vượt quá 11 ký tự tại [Số điện thoại]</t>
  </si>
  <si>
    <t>Quá 100 ký tự đã tự cắt nên không hiển thị thông báo</t>
  </si>
  <si>
    <t>CP đang ở màn hình [Cập nhật thông tin đối tác]
Có file không phải PDF</t>
  </si>
  <si>
    <t>CP đang ở màn hình [Cập nhật thông tin đối tác]
Có file PDF &gt; 10MB</t>
  </si>
  <si>
    <t>TC_088</t>
  </si>
  <si>
    <t>CP đang ở màn hình [Cập nhật thông tin đối tác]
Có file PDF ≤ 10MB</t>
  </si>
  <si>
    <t>C. Flow button [Lưu] / [Hủy]</t>
  </si>
  <si>
    <t>CP đang ở màn hình [Cập nhật thông tin đối tác] và nhập dữ liệu hợp lệ</t>
  </si>
  <si>
    <t>- Hệ thống lưu dữ liệu cập nhật của CP
- Hiển thị PopUP “Thông tin cập nhật đang được Admin xử lý”
- Điều hướng về màn hình [Danh sách thông tin đối tác]</t>
  </si>
  <si>
    <t>Đang là button [Đóng] =&gt; chấp nhận</t>
  </si>
  <si>
    <t>- Hiển thị trường [Tên sản phẩm]
- Hiển thị trường [Nhóm sản phẩm]
- Hiển thị trường [Trạng thái]
- Hiển thị button [Tìm kiếm]</t>
  </si>
  <si>
    <t>1) Để trống [Tên sản phẩm]
2) Không chọn [Nhóm sản phẩm]
3) Không chọn [Trạng thái]
4) Bấm button [Tìm kiếm]</t>
  </si>
  <si>
    <r>
      <rPr>
        <rFont val="Times New Roman"/>
        <color theme="1"/>
        <sz val="12.0"/>
      </rPr>
      <t xml:space="preserve">1) Nhập [Tên sản phẩm]
2) Chọn [Nhóm sản phẩm]
3) Chọn [Trạng thái]
</t>
    </r>
    <r>
      <rPr>
        <rFont val="Times New Roman"/>
        <strike/>
        <color theme="1"/>
        <sz val="12.0"/>
      </rPr>
      <t>4) Chọn [Từ ngày] và [Đến ngày]</t>
    </r>
    <r>
      <rPr>
        <rFont val="Times New Roman"/>
        <color theme="1"/>
        <sz val="12.0"/>
      </rPr>
      <t xml:space="preserve">
5) Bấm button [Tìm kiếm]</t>
    </r>
  </si>
  <si>
    <r>
      <rPr>
        <rFont val="Times New Roman"/>
        <color rgb="FF000000"/>
        <sz val="12.0"/>
      </rPr>
      <t xml:space="preserve">Loại sản phẩm ( droplist): Sản phẩm nội dung, Sản phẩm viễn thông
Button: Hủy, Tiếp tục
</t>
    </r>
    <r>
      <rPr>
        <rFont val="Times New Roman"/>
        <color rgb="FF0000FF"/>
        <sz val="12.0"/>
        <u/>
      </rPr>
      <t>https://prnt.sc/AjAoDA-p42Xw</t>
    </r>
  </si>
  <si>
    <t>Nhập kho sản phẩm ( Upload file CMS)</t>
  </si>
  <si>
    <t>Kiểm tra hiển thị icon Nhập kho trên màn hình Danh sách sản phẩm</t>
  </si>
  <si>
    <t>CP đã đăng nhập và sản phẩm có Kiểu nhập kho là Upload file CMS</t>
  </si>
  <si>
    <t>1. Quan sát danh sách sản phẩm</t>
  </si>
  <si>
    <t>Hiển thị icon Nhập kho</t>
  </si>
  <si>
    <t>Kiểm tra mở Popup Nhập kho sản phẩm</t>
  </si>
  <si>
    <t>1. Click icon Nhập kho</t>
  </si>
  <si>
    <t>Chuyển đến màn hình SCR 1- Popup Nhập kho sản phẩm</t>
  </si>
  <si>
    <t>Màn hình mới, không phải popup</t>
  </si>
  <si>
    <t>Kiểm tra upload file đúng định dạng .xls</t>
  </si>
  <si>
    <t>CP đã mở Popup Nhập kho sản phẩm</t>
  </si>
  <si>
    <t>1. Click Chọn tệp
2. Upload file .xls</t>
  </si>
  <si>
    <t>File được chọn thành công</t>
  </si>
  <si>
    <t>Kiểm tra upload file đúng định dạng .xlsx</t>
  </si>
  <si>
    <t>1. Click Chọn tệp
2. Upload file .xlsx</t>
  </si>
  <si>
    <t>Kiểm tra không cho upload file sai định dạng</t>
  </si>
  <si>
    <t>1. Click Chọn tệp
2. Upload file không phải .xls hoặc .xlsx</t>
  </si>
  <si>
    <t>“File upload phải có định dạng .xls; .xlsx”</t>
  </si>
  <si>
    <t>Kiểm tra không cho upload file vượt quá 10MB</t>
  </si>
  <si>
    <t>1. Click Chọn tệp
2. Upload file có dung lượng &gt; 10MB</t>
  </si>
  <si>
    <t>“File upload phải có dung lượng tối đa là 10 MB”</t>
  </si>
  <si>
    <t>Kiểm tra tải file mẫu</t>
  </si>
  <si>
    <t>1. Click Tải file mẫu</t>
  </si>
  <si>
    <t>Nhấn vào thì cho phép tải file về máy người dùng</t>
  </si>
  <si>
    <t>Kiểm tra nội dung file mẫu</t>
  </si>
  <si>
    <t>CP đã tải file mẫu</t>
  </si>
  <si>
    <t>1. Mở file mẫu</t>
  </si>
  <si>
    <t>File mẫu gồm 2 cột: STT, Mã code</t>
  </si>
  <si>
    <t>Kiểm tra không cho nhập kho khi chưa upload file</t>
  </si>
  <si>
    <t>1. Không upload file
2. Click Nhập kho</t>
  </si>
  <si>
    <t>“File upload không được để trống”</t>
  </si>
  <si>
    <t>Kiểm tra nhập kho thành công</t>
  </si>
  <si>
    <t>CP đã upload file hợp lệ</t>
  </si>
  <si>
    <t>1. Click Nhập kho</t>
  </si>
  <si>
    <t>Khi nhấn nhập kho, nếu thành công thì thông báo Nhập kho thành công &lt;x&gt; sản phẩm</t>
  </si>
  <si>
    <t>https://prnt.sc/BmUcn6wOe20M</t>
  </si>
  <si>
    <t>Kiểm tra chuyển đến SCR 3 khi nhập kho không thành công</t>
  </si>
  <si>
    <t>CP đã upload file không hợp lệ</t>
  </si>
  <si>
    <t>Nhập kho không thành công chuyển đến thông báo SCR 3- Thông báo Nhập kho Không thành công</t>
  </si>
  <si>
    <t>Nhập kết quả test nghiệm thu (upload file)</t>
  </si>
  <si>
    <t>Kiểm tra truy cập chức năng Nhập kết quả test nghiệm thu từ Danh sách sản phẩm</t>
  </si>
  <si>
    <t>CP đã đăng nhập CMS; CP đã thực hiện xong nghiệm thu sản phẩm với TB test đã được Admin thêm vào hệ thống</t>
  </si>
  <si>
    <t>1. Tại Danh sách sản phẩm, click icon tương ứng Nhập kết quả test nghiệm thu</t>
  </si>
  <si>
    <t>CP nhấn vào icon để chuyển đến màn hình SCR 1- Nhập kết quả test</t>
  </si>
  <si>
    <t>Kiểm tra hiển thị popup Nhập kết quả test</t>
  </si>
  <si>
    <t>CP đã đăng nhập và thực hiện mở chức năng Nhập kết quả test</t>
  </si>
  <si>
    <t>1. Quan sát giao diện màn hình</t>
  </si>
  <si>
    <t>Hiển thị màn hình- Nhập kết quả test</t>
  </si>
  <si>
    <t>Kiểm tra chọn 1 file đúng định dạng .pdf</t>
  </si>
  <si>
    <t>CP đã mở popup Nhập kết quả test</t>
  </si>
  <si>
    <t>1. Click Chọn tệp
2. Chọn 1 file .pdf</t>
  </si>
  <si>
    <t>File được chọn và hiển thị tên file</t>
  </si>
  <si>
    <t>Kiểm tra chọn nhiều file</t>
  </si>
  <si>
    <t>1. Click Chọn tệp
2. Chọn nhiều file .pdf</t>
  </si>
  <si>
    <t>Có thể chọn nhiều file và tên của file sẽ được hiển thị kèm nút (X)</t>
  </si>
  <si>
    <t>Kiểm tra xóa file đã chọn bằng nút (X)</t>
  </si>
  <si>
    <t>CP đã chọn file trên popup Nhập kết quả test</t>
  </si>
  <si>
    <t>1. Click nút (X) tại tên file</t>
  </si>
  <si>
    <t>Nếu muốn xóa thì click vào nút (X)</t>
  </si>
  <si>
    <t>1. Click Chọn tệp
2. Chọn file không phải .pdf</t>
  </si>
  <si>
    <t>“File upload phải có định dạng .pdf”</t>
  </si>
  <si>
    <t>Kiểm tra không cho upload file vượt dung lượng tối đa</t>
  </si>
  <si>
    <t>1. Click Chọn tệp
2. Chọn file .pdf có dung lượng &gt; 10 MB</t>
  </si>
  <si>
    <t>Kiểm tra giới hạn tổng dung lượng upload tối đa 10MB</t>
  </si>
  <si>
    <t>1. Chọn nhiều file .pdf sao cho tổng dung lượng &gt; 10 MB</t>
  </si>
  <si>
    <t>Các file upload có định dạng .pdf; tổng dung lượng tải lên tối đa là 10 MB</t>
  </si>
  <si>
    <t>Kiểm tra thao tác Hủy trên popup Nhập kết quả test</t>
  </si>
  <si>
    <t>Popup đóng lại</t>
  </si>
  <si>
    <t>Kiểm tra nhập kết quả test thành công</t>
  </si>
  <si>
    <t>CP đã mở popup Nhập kết quả test và đã chọn file hợp lệ</t>
  </si>
  <si>
    <t>1. Click Lưu</t>
  </si>
  <si>
    <t>Nhập thành công chuyển đến thông báo SCR 2- Thông báo Nhập kết quả test Thành công</t>
  </si>
  <si>
    <t>Kiểm tra nhập kết quả test không thành công</t>
  </si>
  <si>
    <t>CP đã mở popup Nhập kết quả test và thực hiện Lưu</t>
  </si>
  <si>
    <t>Nhập không thành công chuyển đến thông báo SCR 3- Thông báo Nhập kết quả test Thất bại</t>
  </si>
  <si>
    <t>Kiểm tra trạng thái sản phẩm sau khi hoàn thành nhập kết quả test</t>
  </si>
  <si>
    <t>CP đã nhập kết quả test thành công</t>
  </si>
  <si>
    <t>1. Kiểm tra trạng thái sản phẩm</t>
  </si>
  <si>
    <t>Hoàn thành nhập thì chuyển trạng thái sản phẩm sang chờ duyệt nghiệm thu</t>
  </si>
  <si>
    <t>Kiểm tra notify Email/SMS sau khi hoàn thành nhập kết quả test</t>
  </si>
  <si>
    <t>1. Thực hiện nhập kết quả test thành công</t>
  </si>
  <si>
    <t>notiy qua email/SMS cho tài khoản thực hiện khai báo account Admin/PM Kinh doanh cho CP đó. Nội dung :”Sản phẩm &lt;Tên sản phẩm&gt; của đối tác &lt;Mã đối tác&gt; đã hoàn thành nghiệm thu chờ duyệt, đề nghị chủ quản vào kiểm tra” (SMS gửi tin không dấu)</t>
  </si>
  <si>
    <t>Test trên Product</t>
  </si>
  <si>
    <t>** Sử dụng đầu số 1376 và cước 0đ do chưa có sản phẩm được thẩm định</t>
  </si>
  <si>
    <t>TB, thời gian</t>
  </si>
  <si>
    <t>Cú pháp</t>
  </si>
  <si>
    <t>MT</t>
  </si>
  <si>
    <t>Kết quả</t>
  </si>
  <si>
    <t>I</t>
  </si>
  <si>
    <t>Đăng ký</t>
  </si>
  <si>
    <t>Thuê bao thanh toán thành công</t>
  </si>
  <si>
    <t xml:space="preserve">Soạn DK PAtest2 gửi 1376 </t>
  </si>
  <si>
    <t>Trường hợp sản phẩm có gia hạn theo chu kỳ (gói cước dịch vụ số,…):
 MT1: Quy khach da thanh toan thanh cong goi san pham KidsUp Tieng Viet (Gia cuoc 3000d/ngay, gia han tu dong). De huy, vui long soan HUY PAtest gửi 1376. Truy cap https://dimarket.vn/ de so huu cac san pham voi gia cuoc uu dai chi co tren Digital Market – nen tang TMDT cua VNPT. CSKH 18001091 (0d). Tran trong!
 MT2: Cam on Quy khach da lua chon KidsUp Tieng Viet - ung dung hoc doc Tieng Viet danh cho tre tu 4 den 8 tuoi. Truy cap https://www.kidsup.net/kidsup-tieng-viet/ de tai ve ung dung va kich hoat License su dung dich vu. Chi tiet lien he 18001091(0d).</t>
  </si>
  <si>
    <t>Thuê bao thanh toán không thành công do lỗi hệ thống</t>
  </si>
  <si>
    <t xml:space="preserve">Soạn DM PAtest gửi 1376 </t>
  </si>
  <si>
    <t>"Hệ thống trả MT:
 Yeu cau cua Qua khach chua duoc thuc hien do he thong dang ban. Vui long thu lai sau. CSKH 18001091 (0d). Tran trong!</t>
  </si>
  <si>
    <t>Thuê bao thanh toán không thành công do không đủ số dư trong tài khoản</t>
  </si>
  <si>
    <t>"Hệ thống trả MT:
 Giao dich khong thanh cong do thue bao khong du tien trong tai khoan. Vui long nap tien https://my.vnpt.com.vn/adv/nt (TB tra truoc), soan *105*[Mã thẻ]# (TB tra sau) va thu lai hoac thanh toan qua VNPT Pay tai [Link QR Code] (hieu luc 10 phut). CSKH 18001091 (0d). Tran trong!</t>
  </si>
  <si>
    <t>Thuê bao thanh toán không thành công do sai mã sản phẩm/mã sản phẩm không tồn tại</t>
  </si>
  <si>
    <t>Soạn DM [Mã sản phẩm sai] gửi 1376 hoặc DK [Mã sản phẩm sai] gửi 1376</t>
  </si>
  <si>
    <t>"Hệ thống trả MT:
 Yeu cau cua Quy khach chua duoc thuc hien do ma san pham khong dung. Chi tiet LH 18001091 (0d) hoac truy cap https://dimarket.vn/ Digital Market – nen tang TMDT cua VNPT. Tran trong!</t>
  </si>
  <si>
    <t>II</t>
  </si>
  <si>
    <t>Gia hạn</t>
  </si>
  <si>
    <t>Hệ thống gia hạn thành công</t>
  </si>
  <si>
    <t>1. Kiểm tra MT gia hạn từ đầu số 1376</t>
  </si>
  <si>
    <t>MT1: Quy khach da gia han thanh cong goi san pham KidsUp Tieng Viet (Gia cuoc 3000d/ngay, gia han tu dong). De huy, vui long soan HUY PAtest gửi 1376. Truy cap https://dimarket.vn/ de so huu cac san pham voi gia cuoc uu dai chi co tren Digital Market – nen tang TMDT cua VNPT. CSKH 18001091 (0d). Tran trong!
 MT2: Cam on Quy khach da lua chon KidsUp Tieng Viet - ung dung hoc doc Tieng Viet danh cho tre tu 4 den 8 tuoi. Truy cap https://www.kidsup.net/kidsup-tieng-viet/ de tai ve ung dung va kich hoat License su dung dich vu. Chi tiet lien he 18001091(0d).</t>
  </si>
  <si>
    <t>Hệ thống gia hạn không thành công</t>
  </si>
  <si>
    <t>"Hệ thống trả MT:
 Goi san pham KidsUp Tieng Viet cua Quy khach gia han khong thanh cong do thue bao khong du so du 3000d trong tai khoan. Vui long nap tien https://my.vnpt.com.vn/adv/nt (TB tra truoc), soan *105*[Mã thẻ]# (TB tra sau) hoac thanh toan qua VNPT Pay tai [Link QR Code] (hieu luc 10 phut) de tiep tuc su dung. Neu khong con nhu cau, soan HUY PAtest gửi 1376. CSKH 18001091 (0d). Tran trong!</t>
  </si>
  <si>
    <t>III</t>
  </si>
  <si>
    <t>Hủy</t>
  </si>
  <si>
    <t>Thuê bao hủy thành công</t>
  </si>
  <si>
    <t>"1. Hủy thanh toán sản phẩm 
 Soạn HUY PAtest gửi 1376"</t>
  </si>
  <si>
    <t>Hệ thống trả MT:
 Quy khach da huy gia han goi san pham KidsUp Tieng Viet thanh cong va duoc su dung den {hh:mm dd/mm/yyyy}. Soan DK KIDTV gửi 1376 (Gia cuoc 3000d/ngay) de tiep tuc su dung sau thoi gian nay. Truy cap https://dimarket.vn/ de so huu cac san pham voi gia cuoc uu dai chi co tren Digital Market – nen tang TMDT cua VNPT. CSKH 18001091 (0d). Tran trong!
 (hh:mm dd/mm/yyyy là thời điểm kết thúc chu kỳ thanh toán hiện tại)</t>
  </si>
  <si>
    <t>Thuê bao hủy không thành công do sai mã sản phẩm/mã sản phẩm không tồn tại</t>
  </si>
  <si>
    <t>"1. Hủy thanh toán sản phẩm 
 Soạn HUY [Mã sản phẩm sai] gửi 1376"</t>
  </si>
  <si>
    <t>"Hệ thống trả MT:
 Yeu cau cua Quy khach chua duoc thuc hien do ma san pham khong dung. Chi tiet LH 18001091 (0d) hoac truy cap Digital Market https://dimarket.vn/ – nen tang TMDT cua VNPT. Tran trong!</t>
  </si>
  <si>
    <t>Thuê bao hủy không thành công do sản phẩm không phải gói gia hạn</t>
  </si>
  <si>
    <t>"1. Hủy thanh toán sản phẩm 
 Soạn HUY [Mã sản phẩm không phải gói gia hạn] gửi 1376"</t>
  </si>
  <si>
    <t>"Hệ thống trả MT:
 Yeu cau cua Quy khach chua duoc thuc hien do san pham KidsUp Tieng Viet khong phai goi gia han theo chu ky. Chi tiet LH 18001091 (0d) hoac truy cap Digital Market https://dimarket.vn/ – nen tang TMDT cua VNPT. Tran trong!</t>
  </si>
  <si>
    <t>IV</t>
  </si>
  <si>
    <t>Đăng ký trên Website</t>
  </si>
  <si>
    <t>Mua sản phầm thành công trên Web</t>
  </si>
  <si>
    <t>"1. Truy cập website https://dimarket.vn/
 2. Thực hiện mua gói thanh toán qua TKC"</t>
  </si>
  <si>
    <t>Giao dịch thành công 
 MT1: Quy khach da thanh toan thanh cong goi san pham KidsUp Tieng Viet (Gia cuoc 3000d/ngay, gia han tu dong). De huy, vui long soan HUY PAtest gửi 1376. Truy cap https://dimarket.vn/ de so huu cac san pham voi gia cuoc uu dai chi co tren Digital Market – nen tang TMDT cua VNPT. CSKH 18001091 (0d). Tran trong!
 MT2: Cam on Quy khach da lua chon KidsUp Tieng Viet - ung dung hoc doc Tieng Viet danh cho tre tu 4 den 8 tuoi. Truy cap https://www.kidsup.net/kidsup-tieng-viet/ de tai ve ung dung va kich hoat License su dung dich vu. Chi tiet lien he 18001091(0d).</t>
  </si>
  <si>
    <t>Mua sản phầm không thành công trên Web do TK không đủ tiền</t>
  </si>
  <si>
    <t>Giao dich khong thanh cong do thue bao khong du tien trong tai khoan. Vui long nap tien https://my.vnpt.com.vn/adv/nt (TB tra truoc), soan *105*[Mã thẻ]# (TB tra sau) va thu lai hoac thanh toan qua VNPT Pay tai [Link QR Code] (hieu luc 10 phut). CSKH 18001091 (0d). Tran trong!</t>
  </si>
  <si>
    <t>V</t>
  </si>
  <si>
    <t>Các kịch bản MT khác</t>
  </si>
  <si>
    <t>Trợ giúp</t>
  </si>
  <si>
    <t>1. Soạn TG DM gửi 1376</t>
  </si>
  <si>
    <t>"Hệ thống trả MT:
 Chao mung Quy khach den voi thong tin tro giup dich vu Digital Market – nen tang TMDT cua VNPT. De thanh toan san pham qua tai khoan di dong, soan DK KIDTV gửi 1376. De huy goi san pham gia han qua tai khoan di dong, soan HUY PAtest gửi 1376. Truy cap https://dimarket.vn/ de tim hieu ve ma san pham hoac LH 18001091 (0d). Tran trong!</t>
  </si>
  <si>
    <t>Sai cú pháp</t>
  </si>
  <si>
    <t>1. Soạn Abc gửi 1376</t>
  </si>
  <si>
    <t>"Hệ thống trả MT:
 Yeu cau cua Quy khach chua duoc thuc hien do cu phap khong dung. Vui long soan TG DM gui 1376 hoac truy cap https://dimarket.vn/ de duoc tro giup dich vu Digital Market – nen tang TMDT cua VNPT. CSKH 18001091 (0d). Tran trong!</t>
  </si>
  <si>
    <t>Lỗi hệ thống</t>
  </si>
  <si>
    <t>"1. Thực hiện thao tác khi hệ thống bận 
 Soạn TG DM gửi 1376"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</si>
</sst>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dd/MM/yyyy"/>
  </numFmts>
  <fonts count="28">
    <font>
      <sz val="10.0"/>
      <color rgb="FF000000"/>
      <name val="Arial"/>
      <scheme val="minor"/>
    </font>
    <font>
      <sz val="11.0"/>
      <color theme="1"/>
      <name val="Calibri"/>
    </font>
    <font>
      <b/>
      <sz val="20.0"/>
      <color theme="1"/>
      <name val="Arial"/>
    </font>
    <font>
      <b/>
      <color rgb="FFFFFFFF"/>
      <name val="Arial"/>
    </font>
    <font>
      <color theme="1"/>
      <name val="Arial"/>
    </font>
    <font>
      <color rgb="FF0000FF"/>
      <name val="Arial"/>
    </font>
    <font>
      <u/>
      <color rgb="FF0000FF"/>
      <name val="Arial"/>
    </font>
    <font>
      <color rgb="FFFFFFFF"/>
      <name val="Arial"/>
    </font>
    <font>
      <b/>
      <color rgb="FFFF0000"/>
      <name val="Arial"/>
    </font>
    <font>
      <b/>
      <color theme="1"/>
      <name val="Arial"/>
    </font>
    <font>
      <b/>
      <sz val="13.0"/>
      <color theme="1"/>
      <name val="Times New Roman"/>
    </font>
    <font/>
    <font>
      <sz val="13.0"/>
      <color theme="1"/>
      <name val="Times New Roman"/>
    </font>
    <font>
      <b/>
      <sz val="14.0"/>
      <color theme="1"/>
      <name val="Arial"/>
    </font>
    <font>
      <sz val="14.0"/>
      <color theme="1"/>
      <name val="Arial"/>
    </font>
    <font>
      <b/>
      <sz val="14.0"/>
      <color rgb="FFFF0000"/>
      <name val="Arial"/>
    </font>
    <font>
      <b/>
      <sz val="14.0"/>
      <color rgb="FFFFFFFF"/>
      <name val="Times New Roman"/>
    </font>
    <font>
      <sz val="14.0"/>
      <color theme="1"/>
      <name val="Times New Roman"/>
    </font>
    <font>
      <u/>
      <sz val="14.0"/>
      <color rgb="FF0000FF"/>
      <name val="Times New Roman"/>
    </font>
    <font>
      <sz val="14.0"/>
      <color rgb="FFFF0000"/>
      <name val="Times New Roman"/>
    </font>
    <font>
      <sz val="12.0"/>
      <color theme="1"/>
      <name val="Times New Roman"/>
    </font>
    <font>
      <b/>
      <sz val="12.0"/>
      <color rgb="FFFFFFFF"/>
      <name val="Times New Roman"/>
    </font>
    <font>
      <b/>
      <sz val="12.0"/>
      <color theme="1"/>
      <name val="Times New Roman"/>
    </font>
    <font>
      <u/>
      <sz val="12.0"/>
      <color rgb="FF0000FF"/>
      <name val="Times New Roman"/>
    </font>
    <font>
      <color theme="1"/>
      <name val="Arial"/>
      <scheme val="minor"/>
    </font>
    <font>
      <b/>
      <sz val="12.0"/>
      <color rgb="FF000000"/>
      <name val="&quot;Times New Roman&quot;"/>
    </font>
    <font>
      <sz val="12.0"/>
      <color rgb="FF000000"/>
      <name val="&quot;Times New Roman&quot;"/>
    </font>
    <font>
      <sz val="13.0"/>
      <color rgb="FF000000"/>
      <name val="&quot;Times New Roman&quot;"/>
    </font>
  </fonts>
  <fills count="12">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A4C2F4"/>
        <bgColor rgb="FFA4C2F4"/>
      </patternFill>
    </fill>
    <fill>
      <patternFill patternType="solid">
        <fgColor rgb="FFD8D8D8"/>
        <bgColor rgb="FFD8D8D8"/>
      </patternFill>
    </fill>
    <fill>
      <patternFill patternType="solid">
        <fgColor rgb="FFFFFF00"/>
        <bgColor rgb="FFFFFF00"/>
      </patternFill>
    </fill>
    <fill>
      <patternFill patternType="solid">
        <fgColor rgb="FFB6D7A8"/>
        <bgColor rgb="FFB6D7A8"/>
      </patternFill>
    </fill>
    <fill>
      <patternFill patternType="solid">
        <fgColor rgb="FFC9DAF8"/>
        <bgColor rgb="FFC9DAF8"/>
      </patternFill>
    </fill>
    <fill>
      <patternFill patternType="solid">
        <fgColor rgb="FFFCE5CD"/>
        <bgColor rgb="FFFCE5CD"/>
      </patternFill>
    </fill>
    <fill>
      <patternFill patternType="solid">
        <fgColor rgb="FFFFF2CC"/>
        <bgColor rgb="FFFFF2CC"/>
      </patternFill>
    </fill>
    <fill>
      <patternFill patternType="solid">
        <fgColor rgb="FFB7E1CD"/>
        <bgColor rgb="FFB7E1CD"/>
      </patternFill>
    </fill>
  </fills>
  <borders count="21">
    <border/>
    <border>
      <bottom style="hair">
        <color rgb="FF000000"/>
      </bottom>
    </border>
    <border>
      <right style="hair">
        <color rgb="FF000000"/>
      </right>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right style="hair">
        <color rgb="FF000000"/>
      </right>
      <bottom style="hair">
        <color rgb="FF000000"/>
      </bottom>
    </border>
    <border>
      <left style="hair">
        <color rgb="FF000000"/>
      </left>
      <right style="hair">
        <color rgb="FF000000"/>
      </right>
      <top style="hair">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0" fillId="2" fontId="1" numFmtId="0" xfId="0" applyAlignment="1" applyFont="1">
      <alignment vertical="bottom"/>
    </xf>
    <xf borderId="1" fillId="2" fontId="1" numFmtId="0" xfId="0" applyAlignment="1" applyBorder="1" applyFont="1">
      <alignment vertical="bottom"/>
    </xf>
    <xf borderId="1" fillId="2" fontId="1" numFmtId="164" xfId="0" applyAlignment="1" applyBorder="1" applyFont="1" applyNumberFormat="1">
      <alignment vertical="bottom"/>
    </xf>
    <xf borderId="0" fillId="2" fontId="1" numFmtId="164" xfId="0" applyAlignment="1" applyFont="1" applyNumberFormat="1">
      <alignment vertical="bottom"/>
    </xf>
    <xf borderId="1" fillId="2" fontId="1" numFmtId="165" xfId="0" applyAlignment="1" applyBorder="1" applyFont="1" applyNumberFormat="1">
      <alignment vertical="bottom"/>
    </xf>
    <xf borderId="2" fillId="2" fontId="1" numFmtId="0" xfId="0" applyAlignment="1" applyBorder="1" applyFont="1">
      <alignment vertical="bottom"/>
    </xf>
    <xf borderId="3" fillId="3" fontId="3" numFmtId="0" xfId="0" applyAlignment="1" applyBorder="1" applyFill="1" applyFont="1">
      <alignment horizontal="center"/>
    </xf>
    <xf borderId="3" fillId="3" fontId="3" numFmtId="0" xfId="0" applyAlignment="1" applyBorder="1" applyFont="1">
      <alignment horizontal="center" shrinkToFit="0" wrapText="1"/>
    </xf>
    <xf borderId="3" fillId="4" fontId="1" numFmtId="0" xfId="0" applyBorder="1" applyFill="1" applyFont="1"/>
    <xf borderId="3" fillId="4" fontId="4" numFmtId="0" xfId="0" applyBorder="1" applyFont="1"/>
    <xf borderId="3" fillId="2" fontId="5" numFmtId="0" xfId="0" applyAlignment="1" applyBorder="1" applyFont="1">
      <alignment horizontal="center"/>
    </xf>
    <xf borderId="3" fillId="2" fontId="4" numFmtId="0" xfId="0" applyAlignment="1" applyBorder="1" applyFont="1">
      <alignment readingOrder="0" shrinkToFit="0" wrapText="1"/>
    </xf>
    <xf borderId="3" fillId="2" fontId="4" numFmtId="0" xfId="0" applyAlignment="1" applyBorder="1" applyFont="1">
      <alignment horizontal="center" readingOrder="0"/>
    </xf>
    <xf borderId="3" fillId="2" fontId="4" numFmtId="0" xfId="0" applyAlignment="1" applyBorder="1" applyFont="1">
      <alignment horizontal="center"/>
    </xf>
    <xf borderId="3" fillId="2" fontId="6" numFmtId="0" xfId="0" applyAlignment="1" applyBorder="1" applyFont="1">
      <alignment horizontal="center" shrinkToFit="0" wrapText="1"/>
    </xf>
    <xf borderId="3" fillId="2" fontId="1" numFmtId="0" xfId="0" applyBorder="1" applyFont="1"/>
    <xf borderId="3" fillId="2" fontId="4" numFmtId="0" xfId="0" applyAlignment="1" applyBorder="1" applyFont="1">
      <alignment shrinkToFit="0" wrapText="1"/>
    </xf>
    <xf borderId="3" fillId="3" fontId="1" numFmtId="0" xfId="0" applyBorder="1" applyFont="1"/>
    <xf borderId="3" fillId="3" fontId="7" numFmtId="0" xfId="0" applyAlignment="1" applyBorder="1" applyFont="1">
      <alignment horizontal="center"/>
    </xf>
    <xf borderId="3" fillId="3" fontId="8" numFmtId="0" xfId="0" applyAlignment="1" applyBorder="1" applyFont="1">
      <alignment horizontal="center"/>
    </xf>
    <xf borderId="0" fillId="3" fontId="1" numFmtId="0" xfId="0" applyFont="1"/>
    <xf borderId="0" fillId="2" fontId="1" numFmtId="10" xfId="0" applyAlignment="1" applyFont="1" applyNumberFormat="1">
      <alignment vertical="bottom"/>
    </xf>
    <xf borderId="0" fillId="2" fontId="1" numFmtId="9" xfId="0" applyAlignment="1" applyFont="1" applyNumberFormat="1">
      <alignment vertical="bottom"/>
    </xf>
    <xf borderId="0" fillId="2" fontId="9" numFmtId="0" xfId="0" applyAlignment="1" applyFont="1">
      <alignment vertical="bottom"/>
    </xf>
    <xf borderId="0" fillId="2" fontId="9" numFmtId="2" xfId="0" applyAlignment="1" applyFont="1" applyNumberFormat="1">
      <alignment horizontal="right" shrinkToFit="0" vertical="bottom" wrapText="1"/>
    </xf>
    <xf borderId="0" fillId="2" fontId="4" numFmtId="0" xfId="0" applyAlignment="1" applyFont="1">
      <alignment vertical="bottom"/>
    </xf>
    <xf borderId="4" fillId="2" fontId="10" numFmtId="0" xfId="0" applyAlignment="1" applyBorder="1" applyFont="1">
      <alignment horizontal="center" vertical="bottom"/>
    </xf>
    <xf borderId="5" fillId="0" fontId="11" numFmtId="0" xfId="0" applyBorder="1" applyFont="1"/>
    <xf borderId="6" fillId="0" fontId="11" numFmtId="0" xfId="0" applyBorder="1" applyFont="1"/>
    <xf borderId="7" fillId="2" fontId="12" numFmtId="0" xfId="0" applyAlignment="1" applyBorder="1" applyFont="1">
      <alignment horizontal="center" vertical="bottom"/>
    </xf>
    <xf borderId="8" fillId="0" fontId="11" numFmtId="0" xfId="0" applyBorder="1" applyFont="1"/>
    <xf borderId="9" fillId="0" fontId="11" numFmtId="0" xfId="0" applyBorder="1" applyFont="1"/>
    <xf borderId="10" fillId="0" fontId="11" numFmtId="0" xfId="0" applyBorder="1" applyFont="1"/>
    <xf borderId="11" fillId="0" fontId="11" numFmtId="0" xfId="0" applyBorder="1" applyFont="1"/>
    <xf borderId="12" fillId="0" fontId="11" numFmtId="0" xfId="0" applyBorder="1" applyFont="1"/>
    <xf borderId="13" fillId="0" fontId="11" numFmtId="0" xfId="0" applyBorder="1" applyFont="1"/>
    <xf borderId="14" fillId="0" fontId="11" numFmtId="0" xfId="0" applyBorder="1" applyFont="1"/>
    <xf borderId="2" fillId="2" fontId="1" numFmtId="0" xfId="0" applyBorder="1" applyFont="1"/>
    <xf borderId="15" fillId="5" fontId="13" numFmtId="0" xfId="0" applyAlignment="1" applyBorder="1" applyFill="1" applyFont="1">
      <alignment horizontal="center" shrinkToFit="0" wrapText="1"/>
    </xf>
    <xf borderId="0" fillId="2" fontId="1" numFmtId="0" xfId="0" applyFont="1"/>
    <xf borderId="0" fillId="0" fontId="1" numFmtId="0" xfId="0" applyFont="1"/>
    <xf borderId="3" fillId="2" fontId="14" numFmtId="0" xfId="0" applyAlignment="1" applyBorder="1" applyFont="1">
      <alignment horizontal="center" shrinkToFit="0" wrapText="1"/>
    </xf>
    <xf borderId="3" fillId="2" fontId="15" numFmtId="0" xfId="0" applyAlignment="1" applyBorder="1" applyFont="1">
      <alignment horizontal="center" shrinkToFit="0" wrapText="1"/>
    </xf>
    <xf borderId="3" fillId="2" fontId="14" numFmtId="0" xfId="0" applyAlignment="1" applyBorder="1" applyFont="1">
      <alignment horizontal="center" shrinkToFit="0" wrapText="1"/>
    </xf>
    <xf borderId="16" fillId="3" fontId="16" numFmtId="0" xfId="0" applyAlignment="1" applyBorder="1" applyFont="1">
      <alignment horizontal="center" shrinkToFit="0" wrapText="1"/>
    </xf>
    <xf borderId="3" fillId="6" fontId="17" numFmtId="0" xfId="0" applyAlignment="1" applyBorder="1" applyFill="1" applyFont="1">
      <alignment readingOrder="0"/>
    </xf>
    <xf borderId="3" fillId="6" fontId="1" numFmtId="0" xfId="0" applyBorder="1" applyFont="1"/>
    <xf borderId="3" fillId="6" fontId="1" numFmtId="14" xfId="0" applyBorder="1" applyFont="1" applyNumberFormat="1"/>
    <xf borderId="0" fillId="0" fontId="17" numFmtId="0" xfId="0" applyAlignment="1" applyFont="1">
      <alignment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3" fillId="0" fontId="19" numFmtId="0" xfId="0" applyAlignment="1" applyBorder="1" applyFont="1">
      <alignment readingOrder="0"/>
    </xf>
    <xf borderId="3" fillId="7" fontId="1" numFmtId="0" xfId="0" applyAlignment="1" applyBorder="1" applyFill="1" applyFont="1">
      <alignment readingOrder="0"/>
    </xf>
    <xf borderId="3" fillId="0" fontId="1" numFmtId="14" xfId="0" applyBorder="1" applyFont="1" applyNumberFormat="1"/>
    <xf borderId="3" fillId="0" fontId="19" numFmtId="0" xfId="0" applyAlignment="1" applyBorder="1" applyFont="1">
      <alignment readingOrder="0" shrinkToFit="0" wrapText="1"/>
    </xf>
    <xf borderId="3" fillId="0" fontId="19" numFmtId="0" xfId="0" applyBorder="1" applyFont="1"/>
    <xf borderId="3" fillId="2" fontId="1" numFmtId="14" xfId="0" applyBorder="1" applyFont="1" applyNumberFormat="1"/>
    <xf borderId="0" fillId="0" fontId="17" numFmtId="0" xfId="0" applyAlignment="1" applyFont="1">
      <alignment readingOrder="0" shrinkToFit="0" vertical="top" wrapText="1"/>
    </xf>
    <xf borderId="16" fillId="7" fontId="1" numFmtId="0" xfId="0" applyAlignment="1" applyBorder="1" applyFont="1">
      <alignment readingOrder="0"/>
    </xf>
    <xf borderId="16" fillId="2" fontId="1" numFmtId="14" xfId="0" applyBorder="1" applyFont="1" applyNumberFormat="1"/>
    <xf borderId="16" fillId="2" fontId="1" numFmtId="0" xfId="0" applyBorder="1" applyFont="1"/>
    <xf borderId="0" fillId="0" fontId="20" numFmtId="0" xfId="0" applyAlignment="1" applyFont="1">
      <alignment vertical="center"/>
    </xf>
    <xf borderId="16" fillId="3" fontId="21" numFmtId="0" xfId="0" applyAlignment="1" applyBorder="1" applyFont="1">
      <alignment horizontal="center" shrinkToFit="0" vertical="center" wrapText="1"/>
    </xf>
    <xf borderId="3" fillId="6" fontId="20" numFmtId="0" xfId="0" applyAlignment="1" applyBorder="1" applyFont="1">
      <alignment vertical="center"/>
    </xf>
    <xf borderId="3" fillId="6" fontId="22" numFmtId="0" xfId="0" applyAlignment="1" applyBorder="1" applyFont="1">
      <alignment shrinkToFit="0" vertical="center" wrapText="1"/>
    </xf>
    <xf borderId="3" fillId="6" fontId="20" numFmtId="14" xfId="0" applyAlignment="1" applyBorder="1" applyFont="1" applyNumberFormat="1">
      <alignment vertical="center"/>
    </xf>
    <xf borderId="3" fillId="8" fontId="20" numFmtId="0" xfId="0" applyAlignment="1" applyBorder="1" applyFill="1" applyFont="1">
      <alignment vertical="center"/>
    </xf>
    <xf borderId="3" fillId="8" fontId="22" numFmtId="0" xfId="0" applyAlignment="1" applyBorder="1" applyFont="1">
      <alignment shrinkToFit="0" vertical="center" wrapText="1"/>
    </xf>
    <xf borderId="3" fillId="8" fontId="20" numFmtId="14" xfId="0" applyAlignment="1" applyBorder="1" applyFont="1" applyNumberFormat="1">
      <alignment vertical="center"/>
    </xf>
    <xf borderId="0" fillId="0" fontId="20" numFmtId="0" xfId="0" applyAlignment="1" applyFont="1">
      <alignment shrinkToFit="0" vertical="center" wrapText="1"/>
    </xf>
    <xf borderId="3" fillId="2" fontId="20" numFmtId="0" xfId="0" applyAlignment="1" applyBorder="1" applyFont="1">
      <alignment vertical="center"/>
    </xf>
    <xf borderId="3" fillId="0" fontId="20" numFmtId="0" xfId="0" applyAlignment="1" applyBorder="1" applyFont="1">
      <alignment horizontal="center" shrinkToFit="0" vertical="center" wrapText="1"/>
    </xf>
    <xf borderId="0" fillId="0" fontId="20" numFmtId="0" xfId="0" applyAlignment="1" applyFont="1">
      <alignment readingOrder="0" shrinkToFit="0" vertical="center" wrapText="1"/>
    </xf>
    <xf borderId="3" fillId="2" fontId="20" numFmtId="0" xfId="0" applyAlignment="1" applyBorder="1" applyFont="1">
      <alignment readingOrder="0" shrinkToFit="0" vertical="center" wrapText="1"/>
    </xf>
    <xf borderId="3" fillId="0" fontId="20" numFmtId="0" xfId="0" applyAlignment="1" applyBorder="1" applyFont="1">
      <alignment horizontal="center" readingOrder="0" shrinkToFit="0" vertical="center" wrapText="1"/>
    </xf>
    <xf borderId="3" fillId="2" fontId="20" numFmtId="0" xfId="0" applyAlignment="1" applyBorder="1" applyFont="1">
      <alignment shrinkToFit="0" vertical="center" wrapText="1"/>
    </xf>
    <xf borderId="3" fillId="2" fontId="20" numFmtId="14" xfId="0" applyAlignment="1" applyBorder="1" applyFont="1" applyNumberFormat="1">
      <alignment vertical="center"/>
    </xf>
    <xf borderId="3" fillId="0" fontId="20" numFmtId="0" xfId="0" applyAlignment="1" applyBorder="1" applyFont="1">
      <alignment vertical="center"/>
    </xf>
    <xf borderId="3" fillId="0" fontId="20" numFmtId="0" xfId="0" applyAlignment="1" applyBorder="1" applyFont="1">
      <alignment shrinkToFit="0" vertical="center" wrapText="1"/>
    </xf>
    <xf borderId="0" fillId="4" fontId="20" numFmtId="0" xfId="0" applyAlignment="1" applyFont="1">
      <alignment shrinkToFit="0" vertical="center" wrapText="1"/>
    </xf>
    <xf borderId="0" fillId="4" fontId="20" numFmtId="0" xfId="0" applyAlignment="1" applyFont="1">
      <alignment vertical="center"/>
    </xf>
    <xf borderId="0" fillId="2" fontId="20" numFmtId="0" xfId="0" applyAlignment="1" applyFont="1">
      <alignment shrinkToFit="0" vertical="center" wrapText="1"/>
    </xf>
    <xf borderId="3" fillId="4" fontId="22" numFmtId="0" xfId="0" applyAlignment="1" applyBorder="1" applyFont="1">
      <alignment shrinkToFit="0" vertical="center" wrapText="1"/>
    </xf>
    <xf borderId="3" fillId="4" fontId="20" numFmtId="0" xfId="0" applyAlignment="1" applyBorder="1" applyFont="1">
      <alignment vertical="center"/>
    </xf>
    <xf borderId="3" fillId="9" fontId="22" numFmtId="0" xfId="0" applyAlignment="1" applyBorder="1" applyFill="1" applyFont="1">
      <alignment shrinkToFit="0" vertical="center" wrapText="1"/>
    </xf>
    <xf borderId="0" fillId="9" fontId="20" numFmtId="0" xfId="0" applyAlignment="1" applyFont="1">
      <alignment vertical="center"/>
    </xf>
    <xf borderId="3" fillId="9" fontId="20" numFmtId="0" xfId="0" applyAlignment="1" applyBorder="1" applyFont="1">
      <alignment vertical="center"/>
    </xf>
    <xf borderId="16" fillId="2" fontId="20" numFmtId="0" xfId="0" applyAlignment="1" applyBorder="1" applyFont="1">
      <alignment shrinkToFit="0" vertical="center" wrapText="1"/>
    </xf>
    <xf borderId="0" fillId="0" fontId="20" numFmtId="0" xfId="0" applyAlignment="1" applyFont="1">
      <alignment horizontal="center" shrinkToFit="0" vertical="center" wrapText="1"/>
    </xf>
    <xf borderId="0" fillId="9" fontId="22" numFmtId="0" xfId="0" applyAlignment="1" applyFont="1">
      <alignment shrinkToFit="0" vertical="center" wrapText="1"/>
    </xf>
    <xf borderId="0" fillId="4" fontId="22" numFmtId="0" xfId="0" applyAlignment="1" applyFont="1">
      <alignment shrinkToFit="0" vertical="center" wrapText="1"/>
    </xf>
    <xf borderId="0" fillId="0" fontId="22" numFmtId="0" xfId="0" applyAlignment="1" applyFont="1">
      <alignment readingOrder="0" shrinkToFit="0" vertical="center" wrapText="0"/>
    </xf>
    <xf borderId="0" fillId="9" fontId="22" numFmtId="0" xfId="0" applyAlignment="1" applyFont="1">
      <alignment shrinkToFit="0" vertical="center" wrapText="0"/>
    </xf>
    <xf borderId="0" fillId="0" fontId="22" numFmtId="0" xfId="0" applyAlignment="1" applyFont="1">
      <alignment shrinkToFit="0" vertical="center" wrapText="0"/>
    </xf>
    <xf borderId="0" fillId="0" fontId="22" numFmtId="0" xfId="0" applyAlignment="1" applyFont="1">
      <alignment readingOrder="0" shrinkToFit="0" vertical="center" wrapText="1"/>
    </xf>
    <xf borderId="0" fillId="9" fontId="22" numFmtId="0" xfId="0" applyAlignment="1" applyFont="1">
      <alignment vertical="center"/>
    </xf>
    <xf borderId="0" fillId="0" fontId="22" numFmtId="0" xfId="0" applyAlignment="1" applyFont="1">
      <alignment vertical="center"/>
    </xf>
    <xf borderId="0" fillId="0" fontId="20" numFmtId="0" xfId="0" applyAlignment="1" applyFont="1">
      <alignment readingOrder="0" shrinkToFit="0" vertical="center" wrapText="0"/>
    </xf>
    <xf borderId="0" fillId="4" fontId="22" numFmtId="0" xfId="0" applyAlignment="1" applyFont="1">
      <alignment shrinkToFit="0" vertical="center" wrapText="0"/>
    </xf>
    <xf borderId="0" fillId="4" fontId="20" numFmtId="0" xfId="0" applyAlignment="1" applyFont="1">
      <alignment shrinkToFit="0" vertical="center" wrapText="0"/>
    </xf>
    <xf borderId="0" fillId="0" fontId="20" numFmtId="0" xfId="0" applyAlignment="1" applyFont="1">
      <alignment shrinkToFit="0" vertical="center" wrapText="0"/>
    </xf>
    <xf borderId="0" fillId="8" fontId="20" numFmtId="0" xfId="0" applyAlignment="1" applyFont="1">
      <alignment vertical="center"/>
    </xf>
    <xf borderId="0" fillId="8" fontId="22" numFmtId="0" xfId="0" applyAlignment="1" applyFont="1">
      <alignment shrinkToFit="0" vertical="center" wrapText="1"/>
    </xf>
    <xf borderId="0" fillId="0" fontId="23" numFmtId="0" xfId="0" applyAlignment="1" applyFont="1">
      <alignment shrinkToFit="0" vertical="center" wrapText="1"/>
    </xf>
    <xf borderId="3" fillId="0" fontId="20" numFmtId="0" xfId="0" applyAlignment="1" applyBorder="1" applyFont="1">
      <alignment readingOrder="0" shrinkToFit="0" vertical="center" wrapText="1"/>
    </xf>
    <xf borderId="3" fillId="0" fontId="20" numFmtId="0" xfId="0" applyAlignment="1" applyBorder="1" applyFont="1">
      <alignment readingOrder="0" vertical="center"/>
    </xf>
    <xf borderId="0" fillId="0" fontId="20" numFmtId="0" xfId="0" applyAlignment="1" applyFont="1">
      <alignment readingOrder="0" vertical="center"/>
    </xf>
    <xf borderId="0" fillId="8" fontId="22" numFmtId="0" xfId="0" applyAlignment="1" applyFont="1">
      <alignment shrinkToFit="0" vertical="center" wrapText="0"/>
    </xf>
    <xf borderId="0" fillId="8" fontId="22" numFmtId="0" xfId="0" applyAlignment="1" applyFont="1">
      <alignment readingOrder="0" shrinkToFit="0" vertical="center" wrapText="0"/>
    </xf>
    <xf borderId="3" fillId="6" fontId="22" numFmtId="0" xfId="0" applyAlignment="1" applyBorder="1" applyFont="1">
      <alignment readingOrder="0" shrinkToFit="0" vertical="center" wrapText="0"/>
    </xf>
    <xf borderId="3" fillId="8" fontId="22" numFmtId="0" xfId="0" applyAlignment="1" applyBorder="1" applyFont="1">
      <alignment shrinkToFit="0" vertical="center" wrapText="0"/>
    </xf>
    <xf borderId="3" fillId="8" fontId="20" numFmtId="0" xfId="0" applyAlignment="1" applyBorder="1" applyFont="1">
      <alignment shrinkToFit="0" vertical="center" wrapText="0"/>
    </xf>
    <xf borderId="3" fillId="8" fontId="22" numFmtId="0" xfId="0" applyAlignment="1" applyBorder="1" applyFont="1">
      <alignment readingOrder="0" shrinkToFit="0" vertical="center" wrapText="0"/>
    </xf>
    <xf borderId="3" fillId="8" fontId="20" numFmtId="14" xfId="0" applyAlignment="1" applyBorder="1" applyFont="1" applyNumberFormat="1">
      <alignment shrinkToFit="0" vertical="center" wrapText="0"/>
    </xf>
    <xf borderId="15" fillId="5" fontId="13" numFmtId="0" xfId="0" applyAlignment="1" applyBorder="1" applyFont="1">
      <alignment horizontal="center" shrinkToFit="0" wrapText="1"/>
    </xf>
    <xf borderId="3" fillId="2" fontId="1" numFmtId="0" xfId="0" applyBorder="1" applyFont="1"/>
    <xf borderId="0" fillId="10" fontId="24" numFmtId="0" xfId="0" applyAlignment="1" applyFill="1" applyFont="1">
      <alignment readingOrder="0" shrinkToFit="0" wrapText="1"/>
    </xf>
    <xf borderId="0" fillId="0" fontId="24" numFmtId="0" xfId="0" applyAlignment="1" applyFont="1">
      <alignment shrinkToFit="0" wrapText="1"/>
    </xf>
    <xf borderId="17" fillId="0" fontId="25" numFmtId="0" xfId="0" applyAlignment="1" applyBorder="1" applyFont="1">
      <alignment horizontal="center"/>
    </xf>
    <xf borderId="8" fillId="0" fontId="25" numFmtId="0" xfId="0" applyAlignment="1" applyBorder="1" applyFont="1">
      <alignment horizontal="center" readingOrder="0" shrinkToFit="0" wrapText="1"/>
    </xf>
    <xf borderId="17" fillId="0" fontId="25" numFmtId="0" xfId="0" applyAlignment="1" applyBorder="1" applyFont="1">
      <alignment horizontal="center" readingOrder="0"/>
    </xf>
    <xf borderId="17" fillId="0" fontId="25" numFmtId="0" xfId="0" applyAlignment="1" applyBorder="1" applyFont="1">
      <alignment horizontal="center" readingOrder="0" shrinkToFit="0" wrapText="1"/>
    </xf>
    <xf borderId="17" fillId="0" fontId="25" numFmtId="0" xfId="0" applyAlignment="1" applyBorder="1" applyFont="1">
      <alignment horizontal="left" readingOrder="0"/>
    </xf>
    <xf borderId="6" fillId="0" fontId="25" numFmtId="0" xfId="0" applyAlignment="1" applyBorder="1" applyFont="1">
      <alignment horizontal="left" readingOrder="0" shrinkToFit="0" wrapText="1"/>
    </xf>
    <xf borderId="18" fillId="0" fontId="26" numFmtId="0" xfId="0" applyAlignment="1" applyBorder="1" applyFont="1">
      <alignment horizontal="left" readingOrder="0" shrinkToFit="0" wrapText="1"/>
    </xf>
    <xf borderId="18" fillId="2" fontId="26" numFmtId="0" xfId="0" applyAlignment="1" applyBorder="1" applyFont="1">
      <alignment horizontal="left" readingOrder="0" shrinkToFit="0" wrapText="1"/>
    </xf>
    <xf borderId="18" fillId="0" fontId="26" numFmtId="0" xfId="0" applyAlignment="1" applyBorder="1" applyFont="1">
      <alignment horizontal="center" shrinkToFit="0" vertical="bottom" wrapText="1"/>
    </xf>
    <xf borderId="19" fillId="11" fontId="26" numFmtId="0" xfId="0" applyAlignment="1" applyBorder="1" applyFill="1" applyFont="1">
      <alignment horizontal="left" readingOrder="0" shrinkToFit="0" wrapText="1"/>
    </xf>
    <xf borderId="18" fillId="0" fontId="26" numFmtId="0" xfId="0" applyAlignment="1" applyBorder="1" applyFont="1">
      <alignment horizontal="left"/>
    </xf>
    <xf borderId="18" fillId="0" fontId="26" numFmtId="0" xfId="0" applyAlignment="1" applyBorder="1" applyFont="1">
      <alignment horizontal="left" shrinkToFit="0" wrapText="1"/>
    </xf>
    <xf borderId="18" fillId="0" fontId="26" numFmtId="0" xfId="0" applyAlignment="1" applyBorder="1" applyFont="1">
      <alignment horizontal="center" readingOrder="0" shrinkToFit="0" wrapText="1"/>
    </xf>
    <xf borderId="17" fillId="0" fontId="26" numFmtId="0" xfId="0" applyAlignment="1" applyBorder="1" applyFont="1">
      <alignment horizontal="left"/>
    </xf>
    <xf borderId="18" fillId="0" fontId="26" numFmtId="0" xfId="0" applyAlignment="1" applyBorder="1" applyFont="1">
      <alignment horizontal="left" readingOrder="0"/>
    </xf>
    <xf borderId="17" fillId="0" fontId="26" numFmtId="0" xfId="0" applyAlignment="1" applyBorder="1" applyFont="1">
      <alignment horizontal="left" readingOrder="0"/>
    </xf>
    <xf borderId="17" fillId="0" fontId="26" numFmtId="0" xfId="0" applyAlignment="1" applyBorder="1" applyFont="1">
      <alignment horizontal="left" readingOrder="0" shrinkToFit="0" wrapText="1"/>
    </xf>
    <xf borderId="0" fillId="0" fontId="27" numFmtId="0" xfId="0" applyAlignment="1" applyFont="1">
      <alignment horizontal="left" readingOrder="0"/>
    </xf>
    <xf borderId="18" fillId="6" fontId="26" numFmtId="0" xfId="0" applyAlignment="1" applyBorder="1" applyFont="1">
      <alignment horizontal="left" readingOrder="0"/>
    </xf>
    <xf borderId="18" fillId="6" fontId="26" numFmtId="0" xfId="0" applyAlignment="1" applyBorder="1" applyFont="1">
      <alignment horizontal="center" readingOrder="0" shrinkToFit="0" wrapText="1"/>
    </xf>
    <xf borderId="18" fillId="6" fontId="26" numFmtId="0" xfId="0" applyAlignment="1" applyBorder="1" applyFont="1">
      <alignment horizontal="left"/>
    </xf>
    <xf borderId="18" fillId="6" fontId="26" numFmtId="0" xfId="0" applyAlignment="1" applyBorder="1" applyFont="1">
      <alignment horizontal="left" readingOrder="0" shrinkToFit="0" wrapText="1"/>
    </xf>
    <xf borderId="20" fillId="0" fontId="25" numFmtId="0" xfId="0" applyAlignment="1" applyBorder="1" applyFont="1">
      <alignment horizontal="left" readingOrder="0"/>
    </xf>
    <xf borderId="9" fillId="0" fontId="25" numFmtId="0" xfId="0" applyAlignment="1" applyBorder="1" applyFont="1">
      <alignment horizontal="left" readingOrder="0" shrinkToFit="0" wrapText="1"/>
    </xf>
    <xf borderId="17" fillId="0" fontId="26" numFmtId="0" xfId="0" applyAlignment="1" applyBorder="1" applyFont="1">
      <alignment horizontal="left" readingOrder="0" shrinkToFit="0" vertical="center" wrapText="1"/>
    </xf>
    <xf borderId="17" fillId="0" fontId="25" numFmtId="0" xfId="0" applyAlignment="1" applyBorder="1" applyFont="1">
      <alignment horizontal="left" vertical="center"/>
    </xf>
    <xf borderId="17" fillId="0" fontId="26" numFmtId="0" xfId="0" applyAlignment="1" applyBorder="1" applyFont="1">
      <alignment horizontal="left" readingOrder="0" vertical="center"/>
    </xf>
    <xf borderId="17" fillId="0" fontId="26"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imarket.vn/digitalMarketing/login" TargetMode="External"/><Relationship Id="rId2" Type="http://schemas.openxmlformats.org/officeDocument/2006/relationships/hyperlink" Target="http://dimarket.vn/digitalMarketing_cp/logi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rnt.sc/AjAoDA-p42Xw"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rnt.sc/AjAoDA-p42Xw" TargetMode="External"/><Relationship Id="rId2" Type="http://schemas.openxmlformats.org/officeDocument/2006/relationships/hyperlink" Target="https://prnt.sc/BmUcn6wOe20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63"/>
  </cols>
  <sheetData>
    <row r="1">
      <c r="A1" s="1"/>
      <c r="B1" s="2" t="s">
        <v>0</v>
      </c>
      <c r="J1" s="3"/>
      <c r="K1" s="3"/>
      <c r="L1" s="3"/>
      <c r="M1" s="3"/>
      <c r="N1" s="3"/>
      <c r="O1" s="3"/>
      <c r="P1" s="3"/>
      <c r="Q1" s="3"/>
      <c r="R1" s="3"/>
      <c r="S1" s="3"/>
      <c r="T1" s="3"/>
      <c r="U1" s="3"/>
      <c r="V1" s="3"/>
      <c r="W1" s="3"/>
      <c r="X1" s="3"/>
      <c r="Y1" s="3"/>
      <c r="Z1" s="3"/>
    </row>
    <row r="2">
      <c r="A2" s="3"/>
      <c r="B2" s="4"/>
      <c r="C2" s="4"/>
      <c r="D2" s="4"/>
      <c r="E2" s="4"/>
      <c r="F2" s="4"/>
      <c r="G2" s="4"/>
      <c r="H2" s="4"/>
      <c r="I2" s="5"/>
      <c r="J2" s="6"/>
      <c r="K2" s="3"/>
      <c r="L2" s="3"/>
      <c r="M2" s="3"/>
      <c r="N2" s="3"/>
      <c r="O2" s="3"/>
      <c r="P2" s="3"/>
      <c r="Q2" s="3"/>
      <c r="R2" s="3"/>
      <c r="S2" s="3"/>
      <c r="T2" s="3"/>
      <c r="U2" s="3"/>
      <c r="V2" s="3"/>
      <c r="W2" s="3"/>
      <c r="X2" s="3"/>
      <c r="Y2" s="3"/>
      <c r="Z2" s="3"/>
    </row>
    <row r="3">
      <c r="A3" s="3"/>
      <c r="B3" s="3"/>
      <c r="C3" s="3"/>
      <c r="D3" s="3"/>
      <c r="E3" s="3"/>
      <c r="F3" s="3"/>
      <c r="G3" s="3"/>
      <c r="H3" s="3"/>
      <c r="I3" s="6"/>
      <c r="J3" s="6"/>
      <c r="K3" s="3"/>
      <c r="L3" s="3"/>
      <c r="M3" s="3"/>
      <c r="N3" s="3"/>
      <c r="O3" s="3"/>
      <c r="P3" s="3"/>
      <c r="Q3" s="3"/>
      <c r="R3" s="3"/>
      <c r="S3" s="3"/>
      <c r="T3" s="3"/>
      <c r="U3" s="3"/>
      <c r="V3" s="3"/>
      <c r="W3" s="3"/>
      <c r="X3" s="3"/>
      <c r="Y3" s="3"/>
      <c r="Z3" s="3"/>
    </row>
    <row r="4">
      <c r="A4" s="3"/>
      <c r="B4" s="4"/>
      <c r="C4" s="4"/>
      <c r="D4" s="7"/>
      <c r="E4" s="4"/>
      <c r="F4" s="4"/>
      <c r="G4" s="4"/>
      <c r="H4" s="4"/>
      <c r="I4" s="5"/>
      <c r="J4" s="6"/>
      <c r="K4" s="3"/>
      <c r="L4" s="3"/>
      <c r="M4" s="3"/>
      <c r="N4" s="3"/>
      <c r="O4" s="3"/>
      <c r="P4" s="3"/>
      <c r="Q4" s="3"/>
      <c r="R4" s="3"/>
      <c r="S4" s="3"/>
      <c r="T4" s="3"/>
      <c r="U4" s="3"/>
      <c r="V4" s="3"/>
      <c r="W4" s="3"/>
      <c r="X4" s="3"/>
      <c r="Y4" s="3"/>
      <c r="Z4" s="3"/>
    </row>
    <row r="5">
      <c r="A5" s="8"/>
      <c r="B5" s="9" t="s">
        <v>1</v>
      </c>
      <c r="C5" s="9" t="s">
        <v>2</v>
      </c>
      <c r="D5" s="10" t="s">
        <v>3</v>
      </c>
      <c r="E5" s="9" t="s">
        <v>4</v>
      </c>
      <c r="F5" s="9" t="s">
        <v>5</v>
      </c>
      <c r="G5" s="9" t="s">
        <v>6</v>
      </c>
      <c r="H5" s="9" t="s">
        <v>7</v>
      </c>
      <c r="I5" s="10" t="s">
        <v>8</v>
      </c>
      <c r="J5" s="10" t="s">
        <v>9</v>
      </c>
      <c r="K5" s="3"/>
      <c r="L5" s="3"/>
      <c r="M5" s="3"/>
      <c r="N5" s="3"/>
      <c r="O5" s="3"/>
      <c r="P5" s="3"/>
      <c r="Q5" s="3"/>
      <c r="R5" s="3"/>
      <c r="S5" s="3"/>
      <c r="T5" s="3"/>
      <c r="U5" s="3"/>
      <c r="V5" s="3"/>
      <c r="W5" s="3"/>
      <c r="X5" s="3"/>
      <c r="Y5" s="3"/>
      <c r="Z5" s="3"/>
    </row>
    <row r="6">
      <c r="A6" s="8"/>
      <c r="B6" s="11"/>
      <c r="C6" s="12" t="s">
        <v>10</v>
      </c>
      <c r="D6" s="11"/>
      <c r="E6" s="11"/>
      <c r="F6" s="11"/>
      <c r="G6" s="11"/>
      <c r="H6" s="11"/>
      <c r="I6" s="11"/>
      <c r="J6" s="11"/>
      <c r="K6" s="3"/>
      <c r="L6" s="3"/>
      <c r="M6" s="3"/>
      <c r="N6" s="3"/>
      <c r="O6" s="3"/>
      <c r="P6" s="3"/>
      <c r="Q6" s="3"/>
      <c r="R6" s="3"/>
      <c r="S6" s="3"/>
      <c r="T6" s="3"/>
      <c r="U6" s="3"/>
      <c r="V6" s="3"/>
      <c r="W6" s="3"/>
      <c r="X6" s="3"/>
      <c r="Y6" s="3"/>
      <c r="Z6" s="3"/>
    </row>
    <row r="7">
      <c r="A7" s="8"/>
      <c r="B7" s="13">
        <v>1.0</v>
      </c>
      <c r="C7" s="14" t="s">
        <v>11</v>
      </c>
      <c r="D7" s="15">
        <f>ATP!C2</f>
        <v>7</v>
      </c>
      <c r="E7" s="15">
        <f>ATP!D2</f>
        <v>0</v>
      </c>
      <c r="F7" s="15">
        <f>ATP!E2</f>
        <v>0</v>
      </c>
      <c r="G7" s="15">
        <f>ATP!F2</f>
        <v>0</v>
      </c>
      <c r="H7" s="15">
        <f>ATP!G2</f>
        <v>0</v>
      </c>
      <c r="I7" s="16">
        <f>ATP!H2</f>
        <v>7</v>
      </c>
      <c r="J7" s="17"/>
      <c r="K7" s="3"/>
      <c r="L7" s="3"/>
      <c r="M7" s="3"/>
      <c r="N7" s="3"/>
      <c r="O7" s="3"/>
      <c r="P7" s="3"/>
      <c r="Q7" s="3"/>
      <c r="R7" s="3"/>
      <c r="S7" s="3"/>
      <c r="T7" s="3"/>
      <c r="U7" s="3"/>
      <c r="V7" s="3"/>
      <c r="W7" s="3"/>
      <c r="X7" s="3"/>
      <c r="Y7" s="3"/>
      <c r="Z7" s="3"/>
    </row>
    <row r="8">
      <c r="A8" s="8"/>
      <c r="B8" s="13">
        <v>2.0</v>
      </c>
      <c r="C8" s="14" t="s">
        <v>12</v>
      </c>
      <c r="D8" s="15">
        <f>'API CSP '!C2</f>
        <v>2</v>
      </c>
      <c r="E8" s="15">
        <f>'API CSP '!D2</f>
        <v>0</v>
      </c>
      <c r="F8" s="15">
        <f>ATP!E2</f>
        <v>0</v>
      </c>
      <c r="G8" s="15">
        <f>'API CSP '!F2</f>
        <v>0</v>
      </c>
      <c r="H8" s="15">
        <f>'API CSP '!G2</f>
        <v>1</v>
      </c>
      <c r="I8" s="15">
        <f>'API CSP '!H2</f>
        <v>3</v>
      </c>
      <c r="J8" s="18"/>
      <c r="K8" s="3"/>
      <c r="L8" s="3"/>
      <c r="M8" s="3"/>
      <c r="N8" s="3"/>
      <c r="O8" s="3"/>
      <c r="P8" s="3"/>
      <c r="Q8" s="3"/>
      <c r="R8" s="3"/>
      <c r="S8" s="3"/>
      <c r="T8" s="3"/>
      <c r="U8" s="3"/>
      <c r="V8" s="3"/>
      <c r="W8" s="3"/>
      <c r="X8" s="3"/>
      <c r="Y8" s="3"/>
      <c r="Z8" s="3"/>
    </row>
    <row r="9">
      <c r="A9" s="8"/>
      <c r="B9" s="13">
        <v>3.0</v>
      </c>
      <c r="C9" s="19" t="s">
        <v>13</v>
      </c>
      <c r="D9" s="15">
        <f>CMS_admin!C2</f>
        <v>381</v>
      </c>
      <c r="E9" s="15">
        <f>CMS_admin!D2</f>
        <v>1</v>
      </c>
      <c r="F9" s="15">
        <f>CMS_admin!E2</f>
        <v>1</v>
      </c>
      <c r="G9" s="15">
        <f>CMS_admin!F2</f>
        <v>0</v>
      </c>
      <c r="H9" s="15">
        <f>CMS_admin!G2</f>
        <v>1</v>
      </c>
      <c r="I9" s="15">
        <f>CMS_admin!H2</f>
        <v>384</v>
      </c>
      <c r="J9" s="18"/>
      <c r="K9" s="3"/>
      <c r="L9" s="3"/>
      <c r="M9" s="3"/>
      <c r="N9" s="3"/>
      <c r="O9" s="3"/>
      <c r="P9" s="3"/>
      <c r="Q9" s="3"/>
      <c r="R9" s="3"/>
      <c r="S9" s="3"/>
      <c r="T9" s="3"/>
      <c r="U9" s="3"/>
      <c r="V9" s="3"/>
      <c r="W9" s="3"/>
      <c r="X9" s="3"/>
      <c r="Y9" s="3"/>
      <c r="Z9" s="3"/>
    </row>
    <row r="10">
      <c r="A10" s="8"/>
      <c r="B10" s="13">
        <v>4.0</v>
      </c>
      <c r="C10" s="19" t="s">
        <v>14</v>
      </c>
      <c r="D10" s="15">
        <f>CMS_CP!C2</f>
        <v>202</v>
      </c>
      <c r="E10" s="15">
        <f>CMS_CP!D2</f>
        <v>0</v>
      </c>
      <c r="F10" s="15">
        <f>CMS_CP!E2</f>
        <v>2</v>
      </c>
      <c r="G10" s="15">
        <f>CMS_CP!F2</f>
        <v>0</v>
      </c>
      <c r="H10" s="15">
        <f>CMS_CP!G2</f>
        <v>0</v>
      </c>
      <c r="I10" s="16">
        <f>CMS_CP!H2</f>
        <v>204</v>
      </c>
      <c r="J10" s="18"/>
      <c r="K10" s="3"/>
      <c r="L10" s="3"/>
      <c r="M10" s="3"/>
      <c r="N10" s="3"/>
      <c r="O10" s="3"/>
      <c r="P10" s="3"/>
      <c r="Q10" s="3"/>
      <c r="R10" s="3"/>
      <c r="S10" s="3"/>
      <c r="T10" s="3"/>
      <c r="U10" s="3"/>
      <c r="V10" s="3"/>
      <c r="W10" s="3"/>
      <c r="X10" s="3"/>
      <c r="Y10" s="3"/>
      <c r="Z10" s="3"/>
    </row>
    <row r="11">
      <c r="A11" s="8"/>
      <c r="B11" s="13">
        <v>5.0</v>
      </c>
      <c r="C11" s="14" t="s">
        <v>15</v>
      </c>
      <c r="D11" s="15">
        <f>'UAT kịch bản gói Bundle'!C2</f>
        <v>13</v>
      </c>
      <c r="E11" s="15">
        <f>'UAT kịch bản gói Bundle'!D2</f>
        <v>0</v>
      </c>
      <c r="F11" s="15">
        <f>'UAT kịch bản gói Bundle'!E2</f>
        <v>0</v>
      </c>
      <c r="G11" s="15">
        <f>'UAT kịch bản gói Bundle'!F2</f>
        <v>1</v>
      </c>
      <c r="H11" s="15">
        <f>'UAT kịch bản gói Bundle'!G2</f>
        <v>0</v>
      </c>
      <c r="I11" s="15">
        <f>'UAT kịch bản gói Bundle'!H2</f>
        <v>14</v>
      </c>
      <c r="J11" s="18"/>
      <c r="K11" s="3"/>
      <c r="L11" s="3"/>
      <c r="M11" s="3"/>
      <c r="N11" s="3"/>
      <c r="O11" s="3"/>
      <c r="P11" s="3"/>
      <c r="Q11" s="3"/>
      <c r="R11" s="3"/>
      <c r="S11" s="3"/>
      <c r="T11" s="3"/>
      <c r="U11" s="3"/>
      <c r="V11" s="3"/>
      <c r="W11" s="3"/>
      <c r="X11" s="3"/>
      <c r="Y11" s="3"/>
      <c r="Z11" s="3"/>
    </row>
    <row r="12">
      <c r="A12" s="8"/>
      <c r="B12" s="13">
        <v>6.0</v>
      </c>
      <c r="C12" s="19"/>
      <c r="D12" s="15"/>
      <c r="E12" s="15"/>
      <c r="F12" s="15"/>
      <c r="G12" s="15"/>
      <c r="H12" s="15"/>
      <c r="I12" s="15"/>
      <c r="J12" s="18"/>
      <c r="K12" s="3"/>
      <c r="L12" s="3"/>
      <c r="M12" s="3"/>
      <c r="N12" s="3"/>
      <c r="O12" s="3"/>
      <c r="P12" s="3"/>
      <c r="Q12" s="3"/>
      <c r="R12" s="3"/>
      <c r="S12" s="3"/>
      <c r="T12" s="3"/>
      <c r="U12" s="3"/>
      <c r="V12" s="3"/>
      <c r="W12" s="3"/>
      <c r="X12" s="3"/>
      <c r="Y12" s="3"/>
      <c r="Z12" s="3"/>
    </row>
    <row r="13">
      <c r="A13" s="8"/>
      <c r="B13" s="13">
        <v>7.0</v>
      </c>
      <c r="C13" s="18"/>
      <c r="D13" s="18"/>
      <c r="E13" s="18"/>
      <c r="F13" s="18"/>
      <c r="G13" s="18"/>
      <c r="H13" s="18"/>
      <c r="I13" s="18"/>
      <c r="J13" s="18"/>
      <c r="K13" s="3"/>
      <c r="L13" s="3"/>
      <c r="M13" s="3"/>
      <c r="N13" s="3"/>
      <c r="O13" s="3"/>
      <c r="P13" s="3"/>
      <c r="Q13" s="3"/>
      <c r="R13" s="3"/>
      <c r="S13" s="3"/>
      <c r="T13" s="3"/>
      <c r="U13" s="3"/>
      <c r="V13" s="3"/>
      <c r="W13" s="3"/>
      <c r="X13" s="3"/>
      <c r="Y13" s="3"/>
      <c r="Z13" s="3"/>
    </row>
    <row r="14">
      <c r="A14" s="8"/>
      <c r="B14" s="13">
        <v>8.0</v>
      </c>
      <c r="C14" s="18"/>
      <c r="D14" s="18"/>
      <c r="E14" s="18"/>
      <c r="F14" s="18"/>
      <c r="G14" s="18"/>
      <c r="H14" s="18"/>
      <c r="I14" s="18"/>
      <c r="J14" s="18"/>
      <c r="K14" s="3"/>
      <c r="L14" s="3"/>
      <c r="M14" s="3"/>
      <c r="N14" s="3"/>
      <c r="O14" s="3"/>
      <c r="P14" s="3"/>
      <c r="Q14" s="3"/>
      <c r="R14" s="3"/>
      <c r="S14" s="3"/>
      <c r="T14" s="3"/>
      <c r="U14" s="3"/>
      <c r="V14" s="3"/>
      <c r="W14" s="3"/>
      <c r="X14" s="3"/>
      <c r="Y14" s="3"/>
      <c r="Z14" s="3"/>
    </row>
    <row r="15">
      <c r="A15" s="8"/>
      <c r="B15" s="13">
        <v>9.0</v>
      </c>
      <c r="C15" s="18"/>
      <c r="D15" s="18"/>
      <c r="E15" s="18"/>
      <c r="F15" s="18"/>
      <c r="G15" s="18"/>
      <c r="H15" s="18"/>
      <c r="I15" s="18"/>
      <c r="J15" s="18"/>
      <c r="K15" s="3"/>
      <c r="L15" s="3"/>
      <c r="M15" s="3"/>
      <c r="N15" s="3"/>
      <c r="O15" s="3"/>
      <c r="P15" s="3"/>
      <c r="Q15" s="3"/>
      <c r="R15" s="3"/>
      <c r="S15" s="3"/>
      <c r="T15" s="3"/>
      <c r="U15" s="3"/>
      <c r="V15" s="3"/>
      <c r="W15" s="3"/>
      <c r="X15" s="3"/>
      <c r="Y15" s="3"/>
      <c r="Z15" s="3"/>
    </row>
    <row r="16">
      <c r="A16" s="8"/>
      <c r="B16" s="20"/>
      <c r="C16" s="9" t="s">
        <v>16</v>
      </c>
      <c r="D16" s="21">
        <f t="shared" ref="D16:G16" si="1">SUM(D5:D15)</f>
        <v>605</v>
      </c>
      <c r="E16" s="22">
        <f t="shared" si="1"/>
        <v>1</v>
      </c>
      <c r="F16" s="21">
        <f t="shared" si="1"/>
        <v>3</v>
      </c>
      <c r="G16" s="21">
        <f t="shared" si="1"/>
        <v>1</v>
      </c>
      <c r="H16" s="21">
        <f>SUM(H7:H15)</f>
        <v>2</v>
      </c>
      <c r="I16" s="21">
        <f>SUM(I5:I15)</f>
        <v>612</v>
      </c>
      <c r="J16" s="23"/>
      <c r="K16" s="3"/>
      <c r="L16" s="3"/>
      <c r="M16" s="3"/>
      <c r="N16" s="3"/>
      <c r="O16" s="3"/>
      <c r="P16" s="3"/>
      <c r="Q16" s="3"/>
      <c r="R16" s="3"/>
      <c r="S16" s="3"/>
      <c r="T16" s="3"/>
      <c r="U16" s="3"/>
      <c r="V16" s="3"/>
      <c r="W16" s="3"/>
      <c r="X16" s="3"/>
      <c r="Y16" s="3"/>
      <c r="Z16" s="3"/>
    </row>
    <row r="17">
      <c r="A17" s="3"/>
      <c r="B17" s="3"/>
      <c r="C17" s="3"/>
      <c r="D17" s="24"/>
      <c r="E17" s="25"/>
      <c r="F17" s="25"/>
      <c r="G17" s="25"/>
      <c r="H17" s="25"/>
      <c r="I17" s="25"/>
      <c r="J17" s="25"/>
      <c r="K17" s="3"/>
      <c r="L17" s="3"/>
      <c r="M17" s="3"/>
      <c r="N17" s="3"/>
      <c r="O17" s="3"/>
      <c r="P17" s="3"/>
      <c r="Q17" s="3"/>
      <c r="R17" s="3"/>
      <c r="S17" s="3"/>
      <c r="T17" s="3"/>
      <c r="U17" s="3"/>
      <c r="V17" s="3"/>
      <c r="W17" s="3"/>
      <c r="X17" s="3"/>
      <c r="Y17" s="3"/>
      <c r="Z17" s="3"/>
    </row>
    <row r="18">
      <c r="A18" s="3"/>
      <c r="B18" s="3"/>
      <c r="C18" s="26" t="s">
        <v>17</v>
      </c>
      <c r="D18" s="3"/>
      <c r="E18" s="27">
        <f>(D16+E16)*100/(I16-G16)</f>
        <v>99.18166939</v>
      </c>
      <c r="F18" s="28" t="s">
        <v>18</v>
      </c>
      <c r="G18" s="3"/>
      <c r="H18" s="3"/>
      <c r="I18" s="3"/>
      <c r="J18" s="3"/>
      <c r="K18" s="3"/>
      <c r="L18" s="3"/>
      <c r="M18" s="3"/>
      <c r="N18" s="3"/>
      <c r="O18" s="3"/>
      <c r="P18" s="3"/>
      <c r="Q18" s="3"/>
      <c r="R18" s="3"/>
      <c r="S18" s="3"/>
      <c r="T18" s="3"/>
      <c r="U18" s="3"/>
      <c r="V18" s="3"/>
      <c r="W18" s="3"/>
      <c r="X18" s="3"/>
      <c r="Y18" s="3"/>
      <c r="Z18" s="3"/>
    </row>
    <row r="19">
      <c r="A19" s="3"/>
      <c r="B19" s="3"/>
      <c r="C19" s="26" t="s">
        <v>19</v>
      </c>
      <c r="D19" s="3"/>
      <c r="E19" s="27">
        <f>D16*100/(I16-G16)</f>
        <v>99.01800327</v>
      </c>
      <c r="F19" s="28" t="s">
        <v>18</v>
      </c>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29" t="s">
        <v>20</v>
      </c>
      <c r="C22" s="30"/>
      <c r="D22" s="29" t="s">
        <v>21</v>
      </c>
      <c r="E22" s="31"/>
      <c r="F22" s="30"/>
      <c r="G22" s="29" t="s">
        <v>22</v>
      </c>
      <c r="H22" s="31"/>
      <c r="I22" s="30"/>
      <c r="J22" s="3"/>
      <c r="K22" s="3"/>
      <c r="L22" s="3"/>
      <c r="M22" s="3"/>
      <c r="N22" s="3"/>
      <c r="O22" s="3"/>
      <c r="P22" s="3"/>
      <c r="Q22" s="3"/>
      <c r="R22" s="3"/>
      <c r="S22" s="3"/>
      <c r="T22" s="3"/>
      <c r="U22" s="3"/>
      <c r="V22" s="3"/>
      <c r="W22" s="3"/>
      <c r="X22" s="3"/>
      <c r="Y22" s="3"/>
      <c r="Z22" s="3"/>
    </row>
    <row r="23">
      <c r="A23" s="3"/>
      <c r="B23" s="32" t="s">
        <v>23</v>
      </c>
      <c r="C23" s="33"/>
      <c r="D23" s="32" t="s">
        <v>24</v>
      </c>
      <c r="E23" s="34"/>
      <c r="F23" s="33"/>
      <c r="G23" s="32" t="s">
        <v>25</v>
      </c>
      <c r="H23" s="34"/>
      <c r="I23" s="33"/>
      <c r="J23" s="3"/>
      <c r="K23" s="3"/>
      <c r="L23" s="3"/>
      <c r="M23" s="3"/>
      <c r="N23" s="3"/>
      <c r="O23" s="3"/>
      <c r="P23" s="3"/>
      <c r="Q23" s="3"/>
      <c r="R23" s="3"/>
      <c r="S23" s="3"/>
      <c r="T23" s="3"/>
      <c r="U23" s="3"/>
      <c r="V23" s="3"/>
      <c r="W23" s="3"/>
      <c r="X23" s="3"/>
      <c r="Y23" s="3"/>
      <c r="Z23" s="3"/>
    </row>
    <row r="24">
      <c r="A24" s="3"/>
      <c r="B24" s="35"/>
      <c r="C24" s="36"/>
      <c r="D24" s="35"/>
      <c r="F24" s="36"/>
      <c r="G24" s="35"/>
      <c r="I24" s="36"/>
      <c r="J24" s="3"/>
      <c r="K24" s="3"/>
      <c r="L24" s="3"/>
      <c r="M24" s="3"/>
      <c r="N24" s="3"/>
      <c r="O24" s="3"/>
      <c r="P24" s="3"/>
      <c r="Q24" s="3"/>
      <c r="R24" s="3"/>
      <c r="S24" s="3"/>
      <c r="T24" s="3"/>
      <c r="U24" s="3"/>
      <c r="V24" s="3"/>
      <c r="W24" s="3"/>
      <c r="X24" s="3"/>
      <c r="Y24" s="3"/>
      <c r="Z24" s="3"/>
    </row>
    <row r="25">
      <c r="A25" s="3"/>
      <c r="B25" s="35"/>
      <c r="C25" s="36"/>
      <c r="D25" s="35"/>
      <c r="F25" s="36"/>
      <c r="G25" s="35"/>
      <c r="I25" s="36"/>
      <c r="J25" s="3"/>
      <c r="K25" s="3"/>
      <c r="L25" s="3"/>
      <c r="M25" s="3"/>
      <c r="N25" s="3"/>
      <c r="O25" s="3"/>
      <c r="P25" s="3"/>
      <c r="Q25" s="3"/>
      <c r="R25" s="3"/>
      <c r="S25" s="3"/>
      <c r="T25" s="3"/>
      <c r="U25" s="3"/>
      <c r="V25" s="3"/>
      <c r="W25" s="3"/>
      <c r="X25" s="3"/>
      <c r="Y25" s="3"/>
      <c r="Z25" s="3"/>
    </row>
    <row r="26">
      <c r="A26" s="3"/>
      <c r="B26" s="35"/>
      <c r="C26" s="36"/>
      <c r="D26" s="35"/>
      <c r="F26" s="36"/>
      <c r="G26" s="35"/>
      <c r="I26" s="36"/>
      <c r="J26" s="3"/>
      <c r="K26" s="3"/>
      <c r="L26" s="3"/>
      <c r="M26" s="3"/>
      <c r="N26" s="3"/>
      <c r="O26" s="3"/>
      <c r="P26" s="3"/>
      <c r="Q26" s="3"/>
      <c r="R26" s="3"/>
      <c r="S26" s="3"/>
      <c r="T26" s="3"/>
      <c r="U26" s="3"/>
      <c r="V26" s="3"/>
      <c r="W26" s="3"/>
      <c r="X26" s="3"/>
      <c r="Y26" s="3"/>
      <c r="Z26" s="3"/>
    </row>
    <row r="27">
      <c r="A27" s="3"/>
      <c r="B27" s="35"/>
      <c r="C27" s="36"/>
      <c r="D27" s="35"/>
      <c r="F27" s="36"/>
      <c r="G27" s="35"/>
      <c r="I27" s="36"/>
      <c r="J27" s="3"/>
      <c r="K27" s="3"/>
      <c r="L27" s="3"/>
      <c r="M27" s="3"/>
      <c r="N27" s="3"/>
      <c r="O27" s="3"/>
      <c r="P27" s="3"/>
      <c r="Q27" s="3"/>
      <c r="R27" s="3"/>
      <c r="S27" s="3"/>
      <c r="T27" s="3"/>
      <c r="U27" s="3"/>
      <c r="V27" s="3"/>
      <c r="W27" s="3"/>
      <c r="X27" s="3"/>
      <c r="Y27" s="3"/>
      <c r="Z27" s="3"/>
    </row>
    <row r="28">
      <c r="A28" s="3"/>
      <c r="B28" s="35"/>
      <c r="C28" s="36"/>
      <c r="D28" s="35"/>
      <c r="F28" s="36"/>
      <c r="G28" s="35"/>
      <c r="I28" s="36"/>
      <c r="J28" s="3"/>
      <c r="K28" s="3"/>
      <c r="L28" s="3"/>
      <c r="M28" s="3"/>
      <c r="N28" s="3"/>
      <c r="O28" s="3"/>
      <c r="P28" s="3"/>
      <c r="Q28" s="3"/>
      <c r="R28" s="3"/>
      <c r="S28" s="3"/>
      <c r="T28" s="3"/>
      <c r="U28" s="3"/>
      <c r="V28" s="3"/>
      <c r="W28" s="3"/>
      <c r="X28" s="3"/>
      <c r="Y28" s="3"/>
      <c r="Z28" s="3"/>
    </row>
    <row r="29">
      <c r="A29" s="3"/>
      <c r="B29" s="37"/>
      <c r="C29" s="38"/>
      <c r="D29" s="37"/>
      <c r="E29" s="39"/>
      <c r="F29" s="38"/>
      <c r="G29" s="37"/>
      <c r="H29" s="39"/>
      <c r="I29" s="38"/>
      <c r="J29" s="3"/>
      <c r="K29" s="3"/>
      <c r="L29" s="3"/>
      <c r="M29" s="3"/>
      <c r="N29" s="3"/>
      <c r="O29" s="3"/>
      <c r="P29" s="3"/>
      <c r="Q29" s="3"/>
      <c r="R29" s="3"/>
      <c r="S29" s="3"/>
      <c r="T29" s="3"/>
      <c r="U29" s="3"/>
      <c r="V29" s="3"/>
      <c r="W29" s="3"/>
      <c r="X29" s="3"/>
      <c r="Y29" s="3"/>
      <c r="Z29" s="3"/>
    </row>
    <row r="30">
      <c r="A30" s="3"/>
      <c r="B30" s="32" t="s">
        <v>26</v>
      </c>
      <c r="C30" s="33"/>
      <c r="D30" s="32" t="s">
        <v>27</v>
      </c>
      <c r="E30" s="34"/>
      <c r="F30" s="33"/>
      <c r="G30" s="32" t="s">
        <v>28</v>
      </c>
      <c r="H30" s="34"/>
      <c r="I30" s="33"/>
      <c r="J30" s="3"/>
      <c r="K30" s="3"/>
      <c r="L30" s="3"/>
      <c r="M30" s="3"/>
      <c r="N30" s="3"/>
      <c r="O30" s="3"/>
      <c r="P30" s="3"/>
      <c r="Q30" s="3"/>
      <c r="R30" s="3"/>
      <c r="S30" s="3"/>
      <c r="T30" s="3"/>
      <c r="U30" s="3"/>
      <c r="V30" s="3"/>
      <c r="W30" s="3"/>
      <c r="X30" s="3"/>
      <c r="Y30" s="3"/>
      <c r="Z30" s="3"/>
    </row>
    <row r="31">
      <c r="A31" s="3"/>
      <c r="B31" s="35"/>
      <c r="C31" s="36"/>
      <c r="D31" s="35"/>
      <c r="F31" s="36"/>
      <c r="G31" s="35"/>
      <c r="I31" s="36"/>
      <c r="J31" s="3"/>
      <c r="K31" s="3"/>
      <c r="L31" s="3"/>
      <c r="M31" s="3"/>
      <c r="N31" s="3"/>
      <c r="O31" s="3"/>
      <c r="P31" s="3"/>
      <c r="Q31" s="3"/>
      <c r="R31" s="3"/>
      <c r="S31" s="3"/>
      <c r="T31" s="3"/>
      <c r="U31" s="3"/>
      <c r="V31" s="3"/>
      <c r="W31" s="3"/>
      <c r="X31" s="3"/>
      <c r="Y31" s="3"/>
      <c r="Z31" s="3"/>
    </row>
    <row r="32">
      <c r="A32" s="3"/>
      <c r="B32" s="35"/>
      <c r="C32" s="36"/>
      <c r="D32" s="35"/>
      <c r="F32" s="36"/>
      <c r="G32" s="35"/>
      <c r="I32" s="36"/>
      <c r="J32" s="3"/>
      <c r="K32" s="3"/>
      <c r="L32" s="3"/>
      <c r="M32" s="3"/>
      <c r="N32" s="3"/>
      <c r="O32" s="3"/>
      <c r="P32" s="3"/>
      <c r="Q32" s="3"/>
      <c r="R32" s="3"/>
      <c r="S32" s="3"/>
      <c r="T32" s="3"/>
      <c r="U32" s="3"/>
      <c r="V32" s="3"/>
      <c r="W32" s="3"/>
      <c r="X32" s="3"/>
      <c r="Y32" s="3"/>
      <c r="Z32" s="3"/>
    </row>
    <row r="33">
      <c r="A33" s="3"/>
      <c r="B33" s="35"/>
      <c r="C33" s="36"/>
      <c r="D33" s="35"/>
      <c r="F33" s="36"/>
      <c r="G33" s="35"/>
      <c r="I33" s="36"/>
      <c r="J33" s="3"/>
      <c r="K33" s="3"/>
      <c r="L33" s="3"/>
      <c r="M33" s="3"/>
      <c r="N33" s="3"/>
      <c r="O33" s="3"/>
      <c r="P33" s="3"/>
      <c r="Q33" s="3"/>
      <c r="R33" s="3"/>
      <c r="S33" s="3"/>
      <c r="T33" s="3"/>
      <c r="U33" s="3"/>
      <c r="V33" s="3"/>
      <c r="W33" s="3"/>
      <c r="X33" s="3"/>
      <c r="Y33" s="3"/>
      <c r="Z33" s="3"/>
    </row>
    <row r="34">
      <c r="A34" s="3"/>
      <c r="B34" s="35"/>
      <c r="C34" s="36"/>
      <c r="D34" s="35"/>
      <c r="F34" s="36"/>
      <c r="G34" s="35"/>
      <c r="I34" s="36"/>
      <c r="J34" s="3"/>
      <c r="K34" s="3"/>
      <c r="L34" s="3"/>
      <c r="M34" s="3"/>
      <c r="N34" s="3"/>
      <c r="O34" s="3"/>
      <c r="P34" s="3"/>
      <c r="Q34" s="3"/>
      <c r="R34" s="3"/>
      <c r="S34" s="3"/>
      <c r="T34" s="3"/>
      <c r="U34" s="3"/>
      <c r="V34" s="3"/>
      <c r="W34" s="3"/>
      <c r="X34" s="3"/>
      <c r="Y34" s="3"/>
      <c r="Z34" s="3"/>
    </row>
    <row r="35">
      <c r="A35" s="3"/>
      <c r="B35" s="35"/>
      <c r="C35" s="36"/>
      <c r="D35" s="35"/>
      <c r="F35" s="36"/>
      <c r="G35" s="35"/>
      <c r="I35" s="36"/>
      <c r="J35" s="3"/>
      <c r="K35" s="3"/>
      <c r="L35" s="3"/>
      <c r="M35" s="3"/>
      <c r="N35" s="3"/>
      <c r="O35" s="3"/>
      <c r="P35" s="3"/>
      <c r="Q35" s="3"/>
      <c r="R35" s="3"/>
      <c r="S35" s="3"/>
      <c r="T35" s="3"/>
      <c r="U35" s="3"/>
      <c r="V35" s="3"/>
      <c r="W35" s="3"/>
      <c r="X35" s="3"/>
      <c r="Y35" s="3"/>
      <c r="Z35" s="3"/>
    </row>
    <row r="36">
      <c r="A36" s="3"/>
      <c r="B36" s="37"/>
      <c r="C36" s="38"/>
      <c r="D36" s="37"/>
      <c r="E36" s="39"/>
      <c r="F36" s="38"/>
      <c r="G36" s="37"/>
      <c r="H36" s="39"/>
      <c r="I36" s="38"/>
      <c r="J36" s="3"/>
      <c r="K36" s="3"/>
      <c r="L36" s="3"/>
      <c r="M36" s="3"/>
      <c r="N36" s="3"/>
      <c r="O36" s="3"/>
      <c r="P36" s="3"/>
      <c r="Q36" s="3"/>
      <c r="R36" s="3"/>
      <c r="S36" s="3"/>
      <c r="T36" s="3"/>
      <c r="U36" s="3"/>
      <c r="V36" s="3"/>
      <c r="W36" s="3"/>
      <c r="X36" s="3"/>
      <c r="Y36" s="3"/>
      <c r="Z36" s="3"/>
    </row>
  </sheetData>
  <mergeCells count="10">
    <mergeCell ref="B30:C36"/>
    <mergeCell ref="D30:F36"/>
    <mergeCell ref="G30:I36"/>
    <mergeCell ref="B1:I1"/>
    <mergeCell ref="B22:C22"/>
    <mergeCell ref="D22:F22"/>
    <mergeCell ref="G22:I22"/>
    <mergeCell ref="B23:C29"/>
    <mergeCell ref="D23:F29"/>
    <mergeCell ref="G23:I2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9.38"/>
    <col customWidth="1" min="4" max="4" width="42.5"/>
    <col customWidth="1" min="5" max="5" width="33.63"/>
    <col customWidth="1" min="6" max="6" width="63.38"/>
  </cols>
  <sheetData>
    <row r="1">
      <c r="A1" s="40"/>
      <c r="B1" s="41" t="s">
        <v>29</v>
      </c>
      <c r="C1" s="41" t="s">
        <v>3</v>
      </c>
      <c r="D1" s="41" t="s">
        <v>4</v>
      </c>
      <c r="E1" s="41" t="s">
        <v>5</v>
      </c>
      <c r="F1" s="41" t="s">
        <v>6</v>
      </c>
      <c r="G1" s="41" t="s">
        <v>7</v>
      </c>
      <c r="H1" s="41" t="s">
        <v>30</v>
      </c>
      <c r="I1" s="41" t="s">
        <v>30</v>
      </c>
      <c r="J1" s="42"/>
      <c r="K1" s="42"/>
      <c r="L1" s="42"/>
      <c r="M1" s="42"/>
      <c r="N1" s="42"/>
      <c r="O1" s="42"/>
      <c r="P1" s="42"/>
      <c r="Q1" s="43"/>
      <c r="R1" s="43"/>
      <c r="S1" s="43"/>
      <c r="T1" s="43"/>
      <c r="U1" s="43"/>
      <c r="V1" s="43"/>
      <c r="W1" s="43"/>
      <c r="X1" s="43"/>
      <c r="Y1" s="43"/>
      <c r="Z1" s="43"/>
    </row>
    <row r="2">
      <c r="A2" s="40"/>
      <c r="B2" s="18"/>
      <c r="C2" s="44">
        <f>COUNTIF(G4:G1371,"Pass") +countif(G4:G1371,"Accepted")</f>
        <v>7</v>
      </c>
      <c r="D2" s="45">
        <f>COUNTIF(G4:G1371,"Fail")</f>
        <v>0</v>
      </c>
      <c r="E2" s="46">
        <f>COUNTIF(G4:G1371,"Pending")</f>
        <v>0</v>
      </c>
      <c r="F2" s="46">
        <f>COUNTIF(G4:G1371,"N/A")</f>
        <v>0</v>
      </c>
      <c r="G2" s="46">
        <f>H2-C2-D2-E2-F2</f>
        <v>0</v>
      </c>
      <c r="H2" s="46">
        <f t="shared" ref="H2:I2" si="1">COUNTA(E4:E1492)</f>
        <v>7</v>
      </c>
      <c r="I2" s="46">
        <f t="shared" si="1"/>
        <v>7</v>
      </c>
      <c r="J2" s="42"/>
      <c r="K2" s="42"/>
      <c r="L2" s="42"/>
      <c r="M2" s="42"/>
      <c r="N2" s="42"/>
      <c r="O2" s="42"/>
      <c r="P2" s="42"/>
      <c r="Q2" s="43"/>
      <c r="R2" s="43"/>
      <c r="S2" s="43"/>
      <c r="T2" s="43"/>
      <c r="U2" s="43"/>
      <c r="V2" s="43"/>
      <c r="W2" s="43"/>
      <c r="X2" s="43"/>
      <c r="Y2" s="43"/>
      <c r="Z2" s="43"/>
    </row>
    <row r="3">
      <c r="A3" s="47" t="s">
        <v>31</v>
      </c>
      <c r="B3" s="47" t="s">
        <v>32</v>
      </c>
      <c r="C3" s="47" t="s">
        <v>33</v>
      </c>
      <c r="D3" s="47" t="s">
        <v>34</v>
      </c>
      <c r="E3" s="47" t="s">
        <v>35</v>
      </c>
      <c r="F3" s="47" t="s">
        <v>36</v>
      </c>
      <c r="G3" s="47" t="s">
        <v>29</v>
      </c>
      <c r="H3" s="47" t="s">
        <v>37</v>
      </c>
      <c r="I3" s="47" t="s">
        <v>38</v>
      </c>
      <c r="J3" s="47" t="s">
        <v>39</v>
      </c>
      <c r="K3" s="47" t="s">
        <v>40</v>
      </c>
      <c r="L3" s="47" t="s">
        <v>41</v>
      </c>
      <c r="M3" s="42"/>
      <c r="N3" s="42"/>
      <c r="O3" s="42"/>
      <c r="P3" s="42"/>
      <c r="Q3" s="43"/>
      <c r="R3" s="43"/>
      <c r="S3" s="43"/>
      <c r="T3" s="43"/>
      <c r="U3" s="43"/>
      <c r="V3" s="43"/>
      <c r="W3" s="43"/>
      <c r="X3" s="43"/>
      <c r="Y3" s="43"/>
      <c r="Z3" s="43"/>
    </row>
    <row r="4">
      <c r="A4" s="48" t="s">
        <v>42</v>
      </c>
      <c r="B4" s="48" t="s">
        <v>43</v>
      </c>
      <c r="C4" s="49"/>
      <c r="D4" s="49"/>
      <c r="E4" s="49"/>
      <c r="F4" s="50"/>
      <c r="G4" s="50"/>
      <c r="H4" s="50"/>
      <c r="I4" s="50"/>
      <c r="J4" s="49"/>
      <c r="K4" s="49"/>
      <c r="L4" s="49"/>
      <c r="M4" s="43"/>
      <c r="N4" s="43"/>
      <c r="O4" s="43"/>
      <c r="P4" s="43"/>
      <c r="Q4" s="43"/>
      <c r="R4" s="43"/>
      <c r="S4" s="43"/>
      <c r="T4" s="43"/>
      <c r="U4" s="43"/>
      <c r="V4" s="43"/>
      <c r="W4" s="43"/>
      <c r="X4" s="43"/>
      <c r="Y4" s="43"/>
      <c r="Z4" s="43"/>
    </row>
    <row r="5">
      <c r="A5" s="51" t="s">
        <v>44</v>
      </c>
      <c r="B5" s="52" t="s">
        <v>45</v>
      </c>
      <c r="C5" s="51"/>
      <c r="D5" s="53" t="s">
        <v>46</v>
      </c>
      <c r="E5" s="52" t="s">
        <v>47</v>
      </c>
      <c r="F5" s="54" t="s">
        <v>48</v>
      </c>
      <c r="G5" s="55" t="s">
        <v>3</v>
      </c>
      <c r="H5" s="56"/>
      <c r="I5" s="56"/>
      <c r="J5" s="56"/>
      <c r="K5" s="56"/>
      <c r="L5" s="56"/>
      <c r="M5" s="42"/>
      <c r="N5" s="42"/>
      <c r="O5" s="42"/>
      <c r="P5" s="42"/>
      <c r="Q5" s="43"/>
      <c r="R5" s="43"/>
      <c r="S5" s="43"/>
      <c r="T5" s="43"/>
      <c r="U5" s="43"/>
      <c r="V5" s="43"/>
      <c r="W5" s="43"/>
      <c r="X5" s="43"/>
      <c r="Y5" s="43"/>
      <c r="Z5" s="43"/>
    </row>
    <row r="6">
      <c r="A6" s="48" t="s">
        <v>49</v>
      </c>
      <c r="B6" s="48" t="s">
        <v>50</v>
      </c>
      <c r="C6" s="49"/>
      <c r="D6" s="49"/>
      <c r="E6" s="49"/>
      <c r="F6" s="50"/>
      <c r="G6" s="50"/>
      <c r="H6" s="50"/>
      <c r="I6" s="50"/>
      <c r="J6" s="49"/>
      <c r="K6" s="49"/>
      <c r="L6" s="49"/>
      <c r="M6" s="43"/>
      <c r="N6" s="43"/>
      <c r="O6" s="43"/>
      <c r="P6" s="43"/>
      <c r="Q6" s="43"/>
      <c r="R6" s="43"/>
      <c r="S6" s="43"/>
      <c r="T6" s="43"/>
      <c r="U6" s="43"/>
      <c r="V6" s="43"/>
      <c r="W6" s="43"/>
      <c r="X6" s="43"/>
      <c r="Y6" s="43"/>
      <c r="Z6" s="43"/>
    </row>
    <row r="7">
      <c r="A7" s="52" t="s">
        <v>51</v>
      </c>
      <c r="B7" s="52" t="s">
        <v>52</v>
      </c>
      <c r="C7" s="51"/>
      <c r="D7" s="53" t="s">
        <v>53</v>
      </c>
      <c r="E7" s="52" t="s">
        <v>54</v>
      </c>
      <c r="F7" s="54" t="s">
        <v>48</v>
      </c>
      <c r="G7" s="55" t="s">
        <v>3</v>
      </c>
      <c r="H7" s="56"/>
      <c r="I7" s="56"/>
      <c r="J7" s="56"/>
      <c r="K7" s="56"/>
      <c r="L7" s="56"/>
      <c r="M7" s="42"/>
      <c r="N7" s="42"/>
      <c r="O7" s="42"/>
      <c r="P7" s="42"/>
      <c r="Q7" s="43"/>
      <c r="R7" s="43"/>
      <c r="S7" s="43"/>
      <c r="T7" s="43"/>
      <c r="U7" s="43"/>
      <c r="V7" s="43"/>
      <c r="W7" s="43"/>
      <c r="X7" s="43"/>
      <c r="Y7" s="43"/>
      <c r="Z7" s="43"/>
    </row>
    <row r="8">
      <c r="A8" s="48" t="s">
        <v>55</v>
      </c>
      <c r="B8" s="48" t="s">
        <v>56</v>
      </c>
      <c r="C8" s="49"/>
      <c r="D8" s="49"/>
      <c r="E8" s="49"/>
      <c r="F8" s="50"/>
      <c r="G8" s="50"/>
      <c r="H8" s="50"/>
      <c r="I8" s="50"/>
      <c r="J8" s="49"/>
      <c r="K8" s="49"/>
      <c r="L8" s="49"/>
      <c r="M8" s="43"/>
      <c r="N8" s="43"/>
      <c r="O8" s="43"/>
      <c r="P8" s="43"/>
      <c r="Q8" s="43"/>
      <c r="R8" s="43"/>
      <c r="S8" s="43"/>
      <c r="T8" s="43"/>
      <c r="U8" s="43"/>
      <c r="V8" s="43"/>
      <c r="W8" s="43"/>
      <c r="X8" s="43"/>
      <c r="Y8" s="43"/>
      <c r="Z8" s="43"/>
    </row>
    <row r="9">
      <c r="A9" s="52" t="s">
        <v>57</v>
      </c>
      <c r="B9" s="51" t="s">
        <v>56</v>
      </c>
      <c r="C9" s="51" t="s">
        <v>58</v>
      </c>
      <c r="D9" s="51" t="s">
        <v>58</v>
      </c>
      <c r="E9" s="51" t="s">
        <v>59</v>
      </c>
      <c r="F9" s="57" t="s">
        <v>60</v>
      </c>
      <c r="G9" s="55" t="s">
        <v>3</v>
      </c>
      <c r="H9" s="56"/>
      <c r="I9" s="56"/>
      <c r="J9" s="56"/>
      <c r="K9" s="56"/>
      <c r="L9" s="56"/>
      <c r="M9" s="42"/>
      <c r="N9" s="42"/>
      <c r="O9" s="42"/>
      <c r="P9" s="42"/>
      <c r="Q9" s="43"/>
      <c r="R9" s="43"/>
      <c r="S9" s="43"/>
      <c r="T9" s="43"/>
      <c r="U9" s="43"/>
      <c r="V9" s="43"/>
      <c r="W9" s="43"/>
      <c r="X9" s="43"/>
      <c r="Y9" s="43"/>
      <c r="Z9" s="43"/>
    </row>
    <row r="10">
      <c r="A10" s="52" t="s">
        <v>61</v>
      </c>
      <c r="B10" s="51" t="s">
        <v>56</v>
      </c>
      <c r="C10" s="52" t="s">
        <v>62</v>
      </c>
      <c r="D10" s="52" t="s">
        <v>63</v>
      </c>
      <c r="E10" s="52" t="s">
        <v>64</v>
      </c>
      <c r="F10" s="54" t="s">
        <v>65</v>
      </c>
      <c r="G10" s="55" t="s">
        <v>3</v>
      </c>
      <c r="H10" s="56"/>
      <c r="I10" s="56"/>
      <c r="J10" s="56"/>
      <c r="K10" s="56"/>
      <c r="L10" s="56"/>
      <c r="M10" s="42"/>
      <c r="N10" s="42"/>
      <c r="O10" s="42"/>
      <c r="P10" s="42"/>
      <c r="Q10" s="43"/>
      <c r="R10" s="43"/>
      <c r="S10" s="43"/>
      <c r="T10" s="43"/>
      <c r="U10" s="43"/>
      <c r="V10" s="43"/>
      <c r="W10" s="43"/>
      <c r="X10" s="43"/>
      <c r="Y10" s="43"/>
      <c r="Z10" s="43"/>
    </row>
    <row r="11">
      <c r="A11" s="52" t="s">
        <v>66</v>
      </c>
      <c r="B11" s="51" t="s">
        <v>56</v>
      </c>
      <c r="C11" s="52" t="s">
        <v>67</v>
      </c>
      <c r="D11" s="52" t="s">
        <v>68</v>
      </c>
      <c r="E11" s="52" t="s">
        <v>69</v>
      </c>
      <c r="F11" s="58" t="s">
        <v>70</v>
      </c>
      <c r="G11" s="55" t="s">
        <v>3</v>
      </c>
      <c r="H11" s="56"/>
      <c r="I11" s="56"/>
      <c r="J11" s="56"/>
      <c r="K11" s="56"/>
      <c r="L11" s="56"/>
      <c r="M11" s="42"/>
      <c r="N11" s="42"/>
      <c r="O11" s="42"/>
      <c r="P11" s="42"/>
      <c r="Q11" s="43"/>
      <c r="R11" s="43"/>
      <c r="S11" s="43"/>
      <c r="T11" s="43"/>
      <c r="U11" s="43"/>
      <c r="V11" s="43"/>
      <c r="W11" s="43"/>
      <c r="X11" s="43"/>
      <c r="Y11" s="43"/>
      <c r="Z11" s="43"/>
    </row>
    <row r="12">
      <c r="A12" s="52" t="s">
        <v>71</v>
      </c>
      <c r="B12" s="51" t="s">
        <v>56</v>
      </c>
      <c r="C12" s="52" t="s">
        <v>72</v>
      </c>
      <c r="D12" s="52" t="s">
        <v>73</v>
      </c>
      <c r="E12" s="52" t="s">
        <v>74</v>
      </c>
      <c r="F12" s="58" t="s">
        <v>70</v>
      </c>
      <c r="G12" s="55" t="s">
        <v>3</v>
      </c>
      <c r="H12" s="56"/>
      <c r="I12" s="56"/>
      <c r="J12" s="56"/>
      <c r="K12" s="56"/>
      <c r="L12" s="56"/>
      <c r="M12" s="42"/>
      <c r="N12" s="42"/>
      <c r="O12" s="42"/>
      <c r="P12" s="42"/>
      <c r="Q12" s="43"/>
      <c r="R12" s="43"/>
      <c r="S12" s="43"/>
      <c r="T12" s="43"/>
      <c r="U12" s="43"/>
      <c r="V12" s="43"/>
      <c r="W12" s="43"/>
      <c r="X12" s="43"/>
      <c r="Y12" s="43"/>
      <c r="Z12" s="43"/>
    </row>
    <row r="13">
      <c r="A13" s="52" t="s">
        <v>75</v>
      </c>
      <c r="B13" s="51" t="s">
        <v>76</v>
      </c>
      <c r="C13" s="51" t="s">
        <v>58</v>
      </c>
      <c r="D13" s="51" t="s">
        <v>77</v>
      </c>
      <c r="E13" s="51" t="s">
        <v>78</v>
      </c>
      <c r="F13" s="51" t="s">
        <v>78</v>
      </c>
      <c r="G13" s="55" t="s">
        <v>3</v>
      </c>
      <c r="H13" s="59"/>
      <c r="I13" s="59"/>
      <c r="J13" s="18"/>
      <c r="K13" s="18"/>
      <c r="L13" s="18"/>
      <c r="M13" s="43"/>
      <c r="N13" s="43"/>
      <c r="O13" s="43"/>
      <c r="P13" s="43"/>
      <c r="Q13" s="43"/>
      <c r="R13" s="43"/>
      <c r="S13" s="43"/>
      <c r="T13" s="43"/>
      <c r="U13" s="43"/>
      <c r="V13" s="43"/>
      <c r="W13" s="43"/>
      <c r="X13" s="43"/>
      <c r="Y13" s="43"/>
      <c r="Z13" s="43"/>
    </row>
  </sheetData>
  <dataValidations>
    <dataValidation type="list" allowBlank="1" showErrorMessage="1" sqref="G5 G7 G9:G13">
      <formula1>"Pass,Fail,Pending,N/A,Accepted"</formula1>
    </dataValidation>
  </dataValidations>
  <hyperlinks>
    <hyperlink r:id="rId1" ref="D5"/>
    <hyperlink r:id="rId2" ref="D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9.38"/>
    <col customWidth="1" min="4" max="4" width="29.0"/>
    <col customWidth="1" min="5" max="5" width="33.63"/>
    <col customWidth="1" min="6" max="6" width="101.38"/>
  </cols>
  <sheetData>
    <row r="1">
      <c r="A1" s="40"/>
      <c r="B1" s="41" t="s">
        <v>29</v>
      </c>
      <c r="C1" s="41" t="s">
        <v>3</v>
      </c>
      <c r="D1" s="41" t="s">
        <v>4</v>
      </c>
      <c r="E1" s="41" t="s">
        <v>5</v>
      </c>
      <c r="F1" s="41" t="s">
        <v>6</v>
      </c>
      <c r="G1" s="41" t="s">
        <v>7</v>
      </c>
      <c r="H1" s="41" t="s">
        <v>30</v>
      </c>
      <c r="I1" s="42"/>
      <c r="J1" s="42"/>
      <c r="K1" s="42"/>
      <c r="L1" s="42"/>
      <c r="M1" s="42"/>
      <c r="N1" s="42"/>
      <c r="O1" s="42"/>
      <c r="P1" s="42"/>
      <c r="Q1" s="43"/>
      <c r="R1" s="43"/>
      <c r="S1" s="43"/>
      <c r="T1" s="43"/>
      <c r="U1" s="43"/>
      <c r="V1" s="43"/>
      <c r="W1" s="43"/>
      <c r="X1" s="43"/>
      <c r="Y1" s="43"/>
      <c r="Z1" s="43"/>
    </row>
    <row r="2">
      <c r="A2" s="40"/>
      <c r="B2" s="18"/>
      <c r="C2" s="44">
        <f>COUNTIF(G4:G1371,"Pass") +countif(G4:G1371,"Accepted")</f>
        <v>2</v>
      </c>
      <c r="D2" s="45">
        <f>COUNTIF(G4:G1371,"Fail")</f>
        <v>0</v>
      </c>
      <c r="E2" s="46">
        <f>COUNTIF(G4:G1371,"Pending")</f>
        <v>0</v>
      </c>
      <c r="F2" s="46">
        <f>COUNTIF(G4:G1371,"N/A")</f>
        <v>0</v>
      </c>
      <c r="G2" s="44">
        <f>H2-C2-D2-E2-F2</f>
        <v>1</v>
      </c>
      <c r="H2" s="44">
        <f>COUNTA(E4:E1492)</f>
        <v>3</v>
      </c>
      <c r="I2" s="42"/>
      <c r="J2" s="42"/>
      <c r="K2" s="42"/>
      <c r="L2" s="42"/>
      <c r="M2" s="42"/>
      <c r="N2" s="42"/>
      <c r="O2" s="42"/>
      <c r="P2" s="42"/>
      <c r="Q2" s="43"/>
      <c r="R2" s="43"/>
      <c r="S2" s="43"/>
      <c r="T2" s="43"/>
      <c r="U2" s="43"/>
      <c r="V2" s="43"/>
      <c r="W2" s="43"/>
      <c r="X2" s="43"/>
      <c r="Y2" s="43"/>
      <c r="Z2" s="43"/>
    </row>
    <row r="3">
      <c r="A3" s="47" t="s">
        <v>31</v>
      </c>
      <c r="B3" s="47" t="s">
        <v>32</v>
      </c>
      <c r="C3" s="47" t="s">
        <v>33</v>
      </c>
      <c r="D3" s="47" t="s">
        <v>34</v>
      </c>
      <c r="E3" s="47" t="s">
        <v>35</v>
      </c>
      <c r="F3" s="47" t="s">
        <v>36</v>
      </c>
      <c r="G3" s="47" t="s">
        <v>29</v>
      </c>
      <c r="H3" s="47" t="s">
        <v>37</v>
      </c>
      <c r="I3" s="47" t="s">
        <v>38</v>
      </c>
      <c r="J3" s="47" t="s">
        <v>39</v>
      </c>
      <c r="K3" s="47" t="s">
        <v>40</v>
      </c>
      <c r="L3" s="47" t="s">
        <v>41</v>
      </c>
      <c r="M3" s="42"/>
      <c r="N3" s="42"/>
      <c r="O3" s="42"/>
      <c r="P3" s="42"/>
      <c r="Q3" s="43"/>
      <c r="R3" s="43"/>
      <c r="S3" s="43"/>
      <c r="T3" s="43"/>
      <c r="U3" s="43"/>
      <c r="V3" s="43"/>
      <c r="W3" s="43"/>
      <c r="X3" s="43"/>
      <c r="Y3" s="43"/>
      <c r="Z3" s="43"/>
    </row>
    <row r="4">
      <c r="A4" s="60" t="s">
        <v>44</v>
      </c>
      <c r="B4" s="60" t="s">
        <v>79</v>
      </c>
      <c r="C4" s="60" t="s">
        <v>80</v>
      </c>
      <c r="D4" s="60" t="s">
        <v>80</v>
      </c>
      <c r="E4" s="60" t="s">
        <v>81</v>
      </c>
      <c r="F4" s="52" t="s">
        <v>82</v>
      </c>
      <c r="G4" s="61"/>
      <c r="H4" s="62"/>
      <c r="I4" s="62"/>
      <c r="J4" s="63"/>
      <c r="K4" s="63"/>
      <c r="L4" s="63"/>
      <c r="M4" s="43"/>
      <c r="N4" s="43"/>
      <c r="O4" s="43"/>
      <c r="P4" s="43"/>
      <c r="Q4" s="43"/>
      <c r="R4" s="43"/>
      <c r="S4" s="43"/>
      <c r="T4" s="43"/>
      <c r="U4" s="43"/>
      <c r="V4" s="43"/>
      <c r="W4" s="43"/>
      <c r="X4" s="43"/>
      <c r="Y4" s="43"/>
      <c r="Z4" s="43"/>
    </row>
    <row r="5">
      <c r="A5" s="60" t="s">
        <v>57</v>
      </c>
      <c r="B5" s="60" t="s">
        <v>83</v>
      </c>
      <c r="C5" s="60" t="s">
        <v>84</v>
      </c>
      <c r="D5" s="60" t="s">
        <v>84</v>
      </c>
      <c r="E5" s="60" t="s">
        <v>81</v>
      </c>
      <c r="F5" s="52" t="s">
        <v>85</v>
      </c>
      <c r="G5" s="55" t="s">
        <v>3</v>
      </c>
      <c r="H5" s="59"/>
      <c r="I5" s="59"/>
      <c r="J5" s="18"/>
      <c r="K5" s="18"/>
      <c r="L5" s="18"/>
      <c r="M5" s="43"/>
      <c r="N5" s="43"/>
      <c r="O5" s="43"/>
      <c r="P5" s="43"/>
      <c r="Q5" s="43"/>
      <c r="R5" s="43"/>
      <c r="S5" s="43"/>
      <c r="T5" s="43"/>
      <c r="U5" s="43"/>
      <c r="V5" s="43"/>
      <c r="W5" s="43"/>
      <c r="X5" s="43"/>
      <c r="Y5" s="43"/>
      <c r="Z5" s="43"/>
    </row>
    <row r="6">
      <c r="A6" s="60" t="s">
        <v>57</v>
      </c>
      <c r="B6" s="60" t="s">
        <v>86</v>
      </c>
      <c r="C6" s="60" t="s">
        <v>87</v>
      </c>
      <c r="D6" s="60" t="s">
        <v>87</v>
      </c>
      <c r="E6" s="60" t="s">
        <v>81</v>
      </c>
      <c r="F6" s="52" t="s">
        <v>88</v>
      </c>
      <c r="G6" s="55" t="s">
        <v>3</v>
      </c>
      <c r="H6" s="59"/>
      <c r="I6" s="59"/>
      <c r="J6" s="18"/>
      <c r="K6" s="18"/>
      <c r="L6" s="18"/>
      <c r="M6" s="43"/>
      <c r="N6" s="43"/>
      <c r="O6" s="43"/>
      <c r="P6" s="43"/>
      <c r="Q6" s="43"/>
      <c r="R6" s="43"/>
      <c r="S6" s="43"/>
      <c r="T6" s="43"/>
      <c r="U6" s="43"/>
      <c r="V6" s="43"/>
      <c r="W6" s="43"/>
      <c r="X6" s="43"/>
      <c r="Y6" s="43"/>
      <c r="Z6" s="43"/>
    </row>
  </sheetData>
  <dataValidations>
    <dataValidation type="list" allowBlank="1" showErrorMessage="1" sqref="G4:G6">
      <formula1>"Pass,Fail,Pending,N/A,Accepted"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63"/>
    <col customWidth="1" min="2" max="2" width="22.75"/>
    <col customWidth="1" min="3" max="3" width="38.5"/>
    <col customWidth="1" min="4" max="4" width="39.38"/>
    <col customWidth="1" min="5" max="5" width="32.88"/>
    <col customWidth="1" min="6" max="6" width="26.5"/>
    <col customWidth="1" min="7" max="7" width="18.0"/>
  </cols>
  <sheetData>
    <row r="1">
      <c r="A1" s="40"/>
      <c r="B1" s="41" t="s">
        <v>29</v>
      </c>
      <c r="C1" s="41" t="s">
        <v>3</v>
      </c>
      <c r="D1" s="41" t="s">
        <v>4</v>
      </c>
      <c r="E1" s="41" t="s">
        <v>5</v>
      </c>
      <c r="F1" s="41" t="s">
        <v>6</v>
      </c>
      <c r="G1" s="41" t="s">
        <v>7</v>
      </c>
      <c r="H1" s="41" t="s">
        <v>30</v>
      </c>
      <c r="I1" s="64"/>
      <c r="J1" s="64"/>
      <c r="K1" s="64"/>
      <c r="L1" s="64"/>
      <c r="M1" s="64"/>
      <c r="N1" s="64"/>
      <c r="O1" s="64"/>
      <c r="P1" s="64"/>
      <c r="Q1" s="64"/>
      <c r="R1" s="64"/>
      <c r="S1" s="64"/>
      <c r="T1" s="64"/>
      <c r="U1" s="64"/>
      <c r="V1" s="64"/>
      <c r="W1" s="64"/>
      <c r="X1" s="64"/>
      <c r="Y1" s="64"/>
      <c r="Z1" s="64"/>
    </row>
    <row r="2">
      <c r="A2" s="40"/>
      <c r="B2" s="18"/>
      <c r="C2" s="46">
        <f>COUNTIF(G4:G1371,"Pass") +countif(G4:G1371,"Accepted")</f>
        <v>381</v>
      </c>
      <c r="D2" s="45">
        <f>COUNTIF(G4:G1371,"Fail")</f>
        <v>1</v>
      </c>
      <c r="E2" s="46">
        <f>COUNTIF(G4:G1371,"Pending")</f>
        <v>1</v>
      </c>
      <c r="F2" s="46">
        <f>COUNTIF(G4:G1371,"N/A")</f>
        <v>0</v>
      </c>
      <c r="G2" s="46">
        <f>H2-C2-D2-E2-F2</f>
        <v>1</v>
      </c>
      <c r="H2" s="46">
        <f>COUNTA(E4:E1492)</f>
        <v>384</v>
      </c>
      <c r="I2" s="64"/>
      <c r="J2" s="64"/>
      <c r="K2" s="64"/>
      <c r="L2" s="64"/>
      <c r="M2" s="64"/>
      <c r="N2" s="64"/>
      <c r="O2" s="64"/>
      <c r="P2" s="64"/>
      <c r="Q2" s="64"/>
      <c r="R2" s="64"/>
      <c r="S2" s="64"/>
      <c r="T2" s="64"/>
      <c r="U2" s="64"/>
      <c r="V2" s="64"/>
      <c r="W2" s="64"/>
      <c r="X2" s="64"/>
      <c r="Y2" s="64"/>
      <c r="Z2" s="64"/>
    </row>
    <row r="3">
      <c r="A3" s="65" t="s">
        <v>31</v>
      </c>
      <c r="B3" s="65" t="s">
        <v>32</v>
      </c>
      <c r="C3" s="65" t="s">
        <v>33</v>
      </c>
      <c r="D3" s="65" t="s">
        <v>34</v>
      </c>
      <c r="E3" s="65" t="s">
        <v>35</v>
      </c>
      <c r="F3" s="65" t="s">
        <v>36</v>
      </c>
      <c r="G3" s="65" t="s">
        <v>29</v>
      </c>
      <c r="H3" s="64"/>
      <c r="I3" s="64"/>
      <c r="J3" s="64"/>
      <c r="K3" s="64"/>
      <c r="L3" s="64"/>
      <c r="M3" s="64"/>
      <c r="N3" s="64"/>
      <c r="O3" s="64"/>
      <c r="P3" s="64"/>
      <c r="Q3" s="64"/>
      <c r="R3" s="64"/>
      <c r="S3" s="64"/>
      <c r="T3" s="64"/>
      <c r="U3" s="64"/>
      <c r="V3" s="64"/>
      <c r="W3" s="64"/>
      <c r="X3" s="64"/>
      <c r="Y3" s="64"/>
      <c r="Z3" s="64"/>
    </row>
    <row r="4">
      <c r="A4" s="66"/>
      <c r="B4" s="67" t="s">
        <v>89</v>
      </c>
      <c r="C4" s="66"/>
      <c r="D4" s="66"/>
      <c r="E4" s="66"/>
      <c r="F4" s="68"/>
      <c r="G4" s="68"/>
      <c r="H4" s="64"/>
      <c r="I4" s="64"/>
      <c r="J4" s="64"/>
      <c r="K4" s="64"/>
      <c r="L4" s="64"/>
      <c r="M4" s="64"/>
      <c r="N4" s="64"/>
      <c r="O4" s="64"/>
      <c r="P4" s="64"/>
      <c r="Q4" s="64"/>
      <c r="R4" s="64"/>
      <c r="S4" s="64"/>
      <c r="T4" s="64"/>
      <c r="U4" s="64"/>
      <c r="V4" s="64"/>
      <c r="W4" s="64"/>
      <c r="X4" s="64"/>
      <c r="Y4" s="64"/>
      <c r="Z4" s="64"/>
    </row>
    <row r="5" outlineLevel="1">
      <c r="A5" s="69"/>
      <c r="B5" s="70" t="s">
        <v>90</v>
      </c>
      <c r="C5" s="69"/>
      <c r="D5" s="69"/>
      <c r="E5" s="69"/>
      <c r="F5" s="71"/>
      <c r="G5" s="71"/>
      <c r="H5" s="64"/>
      <c r="I5" s="64"/>
      <c r="J5" s="64"/>
      <c r="K5" s="64"/>
      <c r="L5" s="64"/>
      <c r="M5" s="64"/>
      <c r="N5" s="64"/>
      <c r="O5" s="64"/>
      <c r="P5" s="64"/>
      <c r="Q5" s="64"/>
      <c r="R5" s="64"/>
      <c r="S5" s="64"/>
      <c r="T5" s="64"/>
      <c r="U5" s="64"/>
      <c r="V5" s="64"/>
      <c r="W5" s="64"/>
      <c r="X5" s="64"/>
      <c r="Y5" s="64"/>
      <c r="Z5" s="64"/>
    </row>
    <row r="6" outlineLevel="1">
      <c r="A6" s="72" t="s">
        <v>44</v>
      </c>
      <c r="B6" s="72" t="s">
        <v>91</v>
      </c>
      <c r="C6" s="72" t="s">
        <v>92</v>
      </c>
      <c r="D6" s="72" t="s">
        <v>93</v>
      </c>
      <c r="E6" s="72" t="s">
        <v>94</v>
      </c>
      <c r="F6" s="73"/>
      <c r="G6" s="74" t="s">
        <v>3</v>
      </c>
      <c r="H6" s="64"/>
      <c r="I6" s="64"/>
      <c r="J6" s="64"/>
      <c r="K6" s="64"/>
      <c r="L6" s="64"/>
      <c r="M6" s="64"/>
      <c r="N6" s="64"/>
      <c r="O6" s="64"/>
      <c r="P6" s="64"/>
      <c r="Q6" s="64"/>
      <c r="R6" s="64"/>
      <c r="S6" s="64"/>
      <c r="T6" s="64"/>
      <c r="U6" s="64"/>
      <c r="V6" s="64"/>
      <c r="W6" s="64"/>
      <c r="X6" s="64"/>
      <c r="Y6" s="64"/>
      <c r="Z6" s="64"/>
    </row>
    <row r="7" outlineLevel="1">
      <c r="A7" s="72" t="s">
        <v>51</v>
      </c>
      <c r="B7" s="72" t="s">
        <v>95</v>
      </c>
      <c r="C7" s="72" t="s">
        <v>96</v>
      </c>
      <c r="D7" s="72" t="s">
        <v>97</v>
      </c>
      <c r="E7" s="72" t="s">
        <v>98</v>
      </c>
      <c r="F7" s="73"/>
      <c r="G7" s="74" t="s">
        <v>3</v>
      </c>
      <c r="H7" s="64"/>
      <c r="I7" s="64"/>
      <c r="J7" s="64"/>
      <c r="K7" s="64"/>
      <c r="L7" s="64"/>
      <c r="M7" s="64"/>
      <c r="N7" s="64"/>
      <c r="O7" s="64"/>
      <c r="P7" s="64"/>
      <c r="Q7" s="64"/>
      <c r="R7" s="64"/>
      <c r="S7" s="64"/>
      <c r="T7" s="64"/>
      <c r="U7" s="64"/>
      <c r="V7" s="64"/>
      <c r="W7" s="64"/>
      <c r="X7" s="64"/>
      <c r="Y7" s="64"/>
      <c r="Z7" s="64"/>
    </row>
    <row r="8" outlineLevel="1">
      <c r="A8" s="72" t="s">
        <v>57</v>
      </c>
      <c r="B8" s="72" t="s">
        <v>99</v>
      </c>
      <c r="C8" s="72" t="s">
        <v>100</v>
      </c>
      <c r="D8" s="72" t="s">
        <v>101</v>
      </c>
      <c r="E8" s="72" t="s">
        <v>102</v>
      </c>
      <c r="F8" s="73"/>
      <c r="G8" s="74" t="s">
        <v>3</v>
      </c>
      <c r="H8" s="64"/>
      <c r="I8" s="64"/>
      <c r="J8" s="64"/>
      <c r="K8" s="64"/>
      <c r="L8" s="64"/>
      <c r="M8" s="64"/>
      <c r="N8" s="64"/>
      <c r="O8" s="64"/>
      <c r="P8" s="64"/>
      <c r="Q8" s="64"/>
      <c r="R8" s="64"/>
      <c r="S8" s="64"/>
      <c r="T8" s="64"/>
      <c r="U8" s="64"/>
      <c r="V8" s="64"/>
      <c r="W8" s="64"/>
      <c r="X8" s="64"/>
      <c r="Y8" s="64"/>
      <c r="Z8" s="64"/>
    </row>
    <row r="9" outlineLevel="1">
      <c r="A9" s="72" t="s">
        <v>61</v>
      </c>
      <c r="B9" s="72" t="s">
        <v>103</v>
      </c>
      <c r="C9" s="72" t="s">
        <v>104</v>
      </c>
      <c r="D9" s="75" t="s">
        <v>105</v>
      </c>
      <c r="E9" s="72" t="s">
        <v>106</v>
      </c>
      <c r="F9" s="76" t="s">
        <v>107</v>
      </c>
      <c r="G9" s="77" t="s">
        <v>108</v>
      </c>
      <c r="H9" s="64"/>
      <c r="I9" s="64"/>
      <c r="J9" s="64"/>
      <c r="K9" s="64"/>
      <c r="L9" s="64"/>
      <c r="M9" s="64"/>
      <c r="N9" s="64"/>
      <c r="O9" s="64"/>
      <c r="P9" s="64"/>
      <c r="Q9" s="64"/>
      <c r="R9" s="64"/>
      <c r="S9" s="64"/>
      <c r="T9" s="64"/>
      <c r="U9" s="64"/>
      <c r="V9" s="64"/>
      <c r="W9" s="64"/>
      <c r="X9" s="64"/>
      <c r="Y9" s="64"/>
      <c r="Z9" s="64"/>
    </row>
    <row r="10" outlineLevel="1">
      <c r="A10" s="72" t="s">
        <v>66</v>
      </c>
      <c r="B10" s="72" t="s">
        <v>109</v>
      </c>
      <c r="C10" s="72" t="s">
        <v>104</v>
      </c>
      <c r="D10" s="72" t="s">
        <v>110</v>
      </c>
      <c r="E10" s="72" t="s">
        <v>111</v>
      </c>
      <c r="F10" s="73"/>
      <c r="G10" s="77" t="s">
        <v>3</v>
      </c>
      <c r="H10" s="64"/>
      <c r="I10" s="64"/>
      <c r="J10" s="64"/>
      <c r="K10" s="64"/>
      <c r="L10" s="64"/>
      <c r="M10" s="64"/>
      <c r="N10" s="64"/>
      <c r="O10" s="64"/>
      <c r="P10" s="64"/>
      <c r="Q10" s="64"/>
      <c r="R10" s="64"/>
      <c r="S10" s="64"/>
      <c r="T10" s="64"/>
      <c r="U10" s="64"/>
      <c r="V10" s="64"/>
      <c r="W10" s="64"/>
      <c r="X10" s="64"/>
      <c r="Y10" s="64"/>
      <c r="Z10" s="64"/>
    </row>
    <row r="11" outlineLevel="1">
      <c r="A11" s="72" t="s">
        <v>71</v>
      </c>
      <c r="B11" s="72" t="s">
        <v>112</v>
      </c>
      <c r="C11" s="72" t="s">
        <v>113</v>
      </c>
      <c r="D11" s="72" t="s">
        <v>114</v>
      </c>
      <c r="E11" s="72" t="s">
        <v>115</v>
      </c>
      <c r="F11" s="73"/>
      <c r="G11" s="77" t="s">
        <v>3</v>
      </c>
      <c r="H11" s="64"/>
      <c r="I11" s="64"/>
      <c r="J11" s="64"/>
      <c r="K11" s="64"/>
      <c r="L11" s="64"/>
      <c r="M11" s="64"/>
      <c r="N11" s="64"/>
      <c r="O11" s="64"/>
      <c r="P11" s="64"/>
      <c r="Q11" s="64"/>
      <c r="R11" s="64"/>
      <c r="S11" s="64"/>
      <c r="T11" s="64"/>
      <c r="U11" s="64"/>
      <c r="V11" s="64"/>
      <c r="W11" s="64"/>
      <c r="X11" s="64"/>
      <c r="Y11" s="64"/>
      <c r="Z11" s="64"/>
    </row>
    <row r="12" outlineLevel="1">
      <c r="A12" s="72" t="s">
        <v>75</v>
      </c>
      <c r="B12" s="72" t="s">
        <v>116</v>
      </c>
      <c r="C12" s="72" t="s">
        <v>117</v>
      </c>
      <c r="D12" s="72" t="s">
        <v>118</v>
      </c>
      <c r="E12" s="72" t="s">
        <v>119</v>
      </c>
      <c r="F12" s="76" t="s">
        <v>120</v>
      </c>
      <c r="G12" s="77" t="s">
        <v>3</v>
      </c>
      <c r="H12" s="64"/>
      <c r="I12" s="64"/>
      <c r="J12" s="64"/>
      <c r="K12" s="64"/>
      <c r="L12" s="64"/>
      <c r="M12" s="64"/>
      <c r="N12" s="64"/>
      <c r="O12" s="64"/>
      <c r="P12" s="64"/>
      <c r="Q12" s="64"/>
      <c r="R12" s="64"/>
      <c r="S12" s="64"/>
      <c r="T12" s="64"/>
      <c r="U12" s="64"/>
      <c r="V12" s="64"/>
      <c r="W12" s="64"/>
      <c r="X12" s="64"/>
      <c r="Y12" s="64"/>
      <c r="Z12" s="64"/>
    </row>
    <row r="13" outlineLevel="1">
      <c r="A13" s="72" t="s">
        <v>121</v>
      </c>
      <c r="B13" s="72" t="s">
        <v>122</v>
      </c>
      <c r="C13" s="72" t="s">
        <v>123</v>
      </c>
      <c r="D13" s="72" t="s">
        <v>124</v>
      </c>
      <c r="E13" s="72" t="s">
        <v>125</v>
      </c>
      <c r="F13" s="73"/>
      <c r="G13" s="74" t="s">
        <v>3</v>
      </c>
      <c r="H13" s="64"/>
      <c r="I13" s="64"/>
      <c r="J13" s="64"/>
      <c r="K13" s="64"/>
      <c r="L13" s="64"/>
      <c r="M13" s="64"/>
      <c r="N13" s="64"/>
      <c r="O13" s="64"/>
      <c r="P13" s="64"/>
      <c r="Q13" s="64"/>
      <c r="R13" s="64"/>
      <c r="S13" s="64"/>
      <c r="T13" s="64"/>
      <c r="U13" s="64"/>
      <c r="V13" s="64"/>
      <c r="W13" s="64"/>
      <c r="X13" s="64"/>
      <c r="Y13" s="64"/>
      <c r="Z13" s="64"/>
    </row>
    <row r="14" outlineLevel="1">
      <c r="A14" s="72" t="s">
        <v>126</v>
      </c>
      <c r="B14" s="72" t="s">
        <v>127</v>
      </c>
      <c r="C14" s="72" t="s">
        <v>128</v>
      </c>
      <c r="D14" s="72" t="s">
        <v>124</v>
      </c>
      <c r="E14" s="72" t="s">
        <v>129</v>
      </c>
      <c r="F14" s="73"/>
      <c r="G14" s="74" t="s">
        <v>3</v>
      </c>
      <c r="H14" s="64"/>
      <c r="I14" s="64"/>
      <c r="J14" s="64"/>
      <c r="K14" s="64"/>
      <c r="L14" s="64"/>
      <c r="M14" s="64"/>
      <c r="N14" s="64"/>
      <c r="O14" s="64"/>
      <c r="P14" s="64"/>
      <c r="Q14" s="64"/>
      <c r="R14" s="64"/>
      <c r="S14" s="64"/>
      <c r="T14" s="64"/>
      <c r="U14" s="64"/>
      <c r="V14" s="64"/>
      <c r="W14" s="64"/>
      <c r="X14" s="64"/>
      <c r="Y14" s="64"/>
      <c r="Z14" s="64"/>
    </row>
    <row r="15" outlineLevel="1">
      <c r="A15" s="72" t="s">
        <v>130</v>
      </c>
      <c r="B15" s="72" t="s">
        <v>131</v>
      </c>
      <c r="C15" s="72" t="s">
        <v>117</v>
      </c>
      <c r="D15" s="72" t="s">
        <v>132</v>
      </c>
      <c r="E15" s="72" t="s">
        <v>133</v>
      </c>
      <c r="F15" s="73"/>
      <c r="G15" s="74" t="s">
        <v>3</v>
      </c>
      <c r="H15" s="64"/>
      <c r="I15" s="64"/>
      <c r="J15" s="64"/>
      <c r="K15" s="64"/>
      <c r="L15" s="64"/>
      <c r="M15" s="64"/>
      <c r="N15" s="64"/>
      <c r="O15" s="64"/>
      <c r="P15" s="64"/>
      <c r="Q15" s="64"/>
      <c r="R15" s="64"/>
      <c r="S15" s="64"/>
      <c r="T15" s="64"/>
      <c r="U15" s="64"/>
      <c r="V15" s="64"/>
      <c r="W15" s="64"/>
      <c r="X15" s="64"/>
      <c r="Y15" s="64"/>
      <c r="Z15" s="64"/>
    </row>
    <row r="16" outlineLevel="1">
      <c r="A16" s="72" t="s">
        <v>134</v>
      </c>
      <c r="B16" s="72" t="s">
        <v>135</v>
      </c>
      <c r="C16" s="72" t="s">
        <v>117</v>
      </c>
      <c r="D16" s="72" t="s">
        <v>136</v>
      </c>
      <c r="E16" s="72" t="s">
        <v>137</v>
      </c>
      <c r="F16" s="73"/>
      <c r="G16" s="74" t="s">
        <v>3</v>
      </c>
      <c r="H16" s="64"/>
      <c r="I16" s="64"/>
      <c r="J16" s="64"/>
      <c r="K16" s="64"/>
      <c r="L16" s="64"/>
      <c r="M16" s="64"/>
      <c r="N16" s="64"/>
      <c r="O16" s="64"/>
      <c r="P16" s="64"/>
      <c r="Q16" s="64"/>
      <c r="R16" s="64"/>
      <c r="S16" s="64"/>
      <c r="T16" s="64"/>
      <c r="U16" s="64"/>
      <c r="V16" s="64"/>
      <c r="W16" s="64"/>
      <c r="X16" s="64"/>
      <c r="Y16" s="64"/>
      <c r="Z16" s="64"/>
    </row>
    <row r="17" outlineLevel="1">
      <c r="A17" s="72" t="s">
        <v>138</v>
      </c>
      <c r="B17" s="72" t="s">
        <v>139</v>
      </c>
      <c r="C17" s="72" t="s">
        <v>117</v>
      </c>
      <c r="D17" s="72" t="s">
        <v>140</v>
      </c>
      <c r="E17" s="72" t="s">
        <v>141</v>
      </c>
      <c r="F17" s="78" t="s">
        <v>142</v>
      </c>
      <c r="G17" s="77" t="s">
        <v>108</v>
      </c>
      <c r="H17" s="64"/>
      <c r="I17" s="64"/>
      <c r="J17" s="64"/>
      <c r="K17" s="64"/>
      <c r="L17" s="64"/>
      <c r="M17" s="64"/>
      <c r="N17" s="64"/>
      <c r="O17" s="64"/>
      <c r="P17" s="64"/>
      <c r="Q17" s="64"/>
      <c r="R17" s="64"/>
      <c r="S17" s="64"/>
      <c r="T17" s="64"/>
      <c r="U17" s="64"/>
      <c r="V17" s="64"/>
      <c r="W17" s="64"/>
      <c r="X17" s="64"/>
      <c r="Y17" s="64"/>
      <c r="Z17" s="64"/>
    </row>
    <row r="18" outlineLevel="1">
      <c r="A18" s="72" t="s">
        <v>143</v>
      </c>
      <c r="B18" s="72" t="s">
        <v>144</v>
      </c>
      <c r="C18" s="72" t="s">
        <v>117</v>
      </c>
      <c r="D18" s="72" t="s">
        <v>145</v>
      </c>
      <c r="E18" s="72" t="s">
        <v>146</v>
      </c>
      <c r="F18" s="73"/>
      <c r="G18" s="74" t="s">
        <v>3</v>
      </c>
      <c r="H18" s="64"/>
      <c r="I18" s="64"/>
      <c r="J18" s="64"/>
      <c r="K18" s="64"/>
      <c r="L18" s="64"/>
      <c r="M18" s="64"/>
      <c r="N18" s="64"/>
      <c r="O18" s="64"/>
      <c r="P18" s="64"/>
      <c r="Q18" s="64"/>
      <c r="R18" s="64"/>
      <c r="S18" s="64"/>
      <c r="T18" s="64"/>
      <c r="U18" s="64"/>
      <c r="V18" s="64"/>
      <c r="W18" s="64"/>
      <c r="X18" s="64"/>
      <c r="Y18" s="64"/>
      <c r="Z18" s="64"/>
    </row>
    <row r="19" outlineLevel="1">
      <c r="A19" s="72" t="s">
        <v>147</v>
      </c>
      <c r="B19" s="72" t="s">
        <v>148</v>
      </c>
      <c r="C19" s="72" t="s">
        <v>149</v>
      </c>
      <c r="D19" s="72" t="s">
        <v>150</v>
      </c>
      <c r="E19" s="72" t="s">
        <v>151</v>
      </c>
      <c r="F19" s="73"/>
      <c r="G19" s="74" t="s">
        <v>3</v>
      </c>
      <c r="H19" s="64"/>
      <c r="I19" s="64"/>
      <c r="J19" s="64"/>
      <c r="K19" s="64"/>
      <c r="L19" s="64"/>
      <c r="M19" s="64"/>
      <c r="N19" s="64"/>
      <c r="O19" s="64"/>
      <c r="P19" s="64"/>
      <c r="Q19" s="64"/>
      <c r="R19" s="64"/>
      <c r="S19" s="64"/>
      <c r="T19" s="64"/>
      <c r="U19" s="64"/>
      <c r="V19" s="64"/>
      <c r="W19" s="64"/>
      <c r="X19" s="64"/>
      <c r="Y19" s="64"/>
      <c r="Z19" s="64"/>
    </row>
    <row r="20" outlineLevel="1">
      <c r="A20" s="72" t="s">
        <v>152</v>
      </c>
      <c r="B20" s="72" t="s">
        <v>153</v>
      </c>
      <c r="C20" s="72" t="s">
        <v>154</v>
      </c>
      <c r="D20" s="72" t="s">
        <v>155</v>
      </c>
      <c r="E20" s="72" t="s">
        <v>156</v>
      </c>
      <c r="F20" s="73"/>
      <c r="G20" s="74" t="s">
        <v>3</v>
      </c>
      <c r="H20" s="64"/>
      <c r="I20" s="64"/>
      <c r="J20" s="64"/>
      <c r="K20" s="64"/>
      <c r="L20" s="64"/>
      <c r="M20" s="64"/>
      <c r="N20" s="64"/>
      <c r="O20" s="64"/>
      <c r="P20" s="64"/>
      <c r="Q20" s="64"/>
      <c r="R20" s="64"/>
      <c r="S20" s="64"/>
      <c r="T20" s="64"/>
      <c r="U20" s="64"/>
      <c r="V20" s="64"/>
      <c r="W20" s="64"/>
      <c r="X20" s="64"/>
      <c r="Y20" s="64"/>
      <c r="Z20" s="64"/>
    </row>
    <row r="21" outlineLevel="1">
      <c r="A21" s="72" t="s">
        <v>157</v>
      </c>
      <c r="B21" s="72" t="s">
        <v>158</v>
      </c>
      <c r="C21" s="72" t="s">
        <v>159</v>
      </c>
      <c r="D21" s="72" t="s">
        <v>160</v>
      </c>
      <c r="E21" s="72" t="s">
        <v>161</v>
      </c>
      <c r="F21" s="73"/>
      <c r="G21" s="74" t="s">
        <v>3</v>
      </c>
      <c r="H21" s="64"/>
      <c r="I21" s="64"/>
      <c r="J21" s="64"/>
      <c r="K21" s="64"/>
      <c r="L21" s="64"/>
      <c r="M21" s="64"/>
      <c r="N21" s="64"/>
      <c r="O21" s="64"/>
      <c r="P21" s="64"/>
      <c r="Q21" s="64"/>
      <c r="R21" s="64"/>
      <c r="S21" s="64"/>
      <c r="T21" s="64"/>
      <c r="U21" s="64"/>
      <c r="V21" s="64"/>
      <c r="W21" s="64"/>
      <c r="X21" s="64"/>
      <c r="Y21" s="64"/>
      <c r="Z21" s="64"/>
    </row>
    <row r="22" outlineLevel="1">
      <c r="A22" s="72" t="s">
        <v>162</v>
      </c>
      <c r="B22" s="72" t="s">
        <v>163</v>
      </c>
      <c r="C22" s="72" t="s">
        <v>164</v>
      </c>
      <c r="D22" s="72" t="s">
        <v>165</v>
      </c>
      <c r="E22" s="72" t="s">
        <v>166</v>
      </c>
      <c r="F22" s="73"/>
      <c r="G22" s="74" t="s">
        <v>3</v>
      </c>
      <c r="H22" s="64"/>
      <c r="I22" s="64"/>
      <c r="J22" s="64"/>
      <c r="K22" s="64"/>
      <c r="L22" s="64"/>
      <c r="M22" s="64"/>
      <c r="N22" s="64"/>
      <c r="O22" s="64"/>
      <c r="P22" s="64"/>
      <c r="Q22" s="64"/>
      <c r="R22" s="64"/>
      <c r="S22" s="64"/>
      <c r="T22" s="64"/>
      <c r="U22" s="64"/>
      <c r="V22" s="64"/>
      <c r="W22" s="64"/>
      <c r="X22" s="64"/>
      <c r="Y22" s="64"/>
      <c r="Z22" s="64"/>
    </row>
    <row r="23" outlineLevel="1">
      <c r="A23" s="72" t="s">
        <v>167</v>
      </c>
      <c r="B23" s="72" t="s">
        <v>168</v>
      </c>
      <c r="C23" s="72" t="s">
        <v>169</v>
      </c>
      <c r="D23" s="72" t="s">
        <v>170</v>
      </c>
      <c r="E23" s="72" t="s">
        <v>171</v>
      </c>
      <c r="F23" s="72" t="s">
        <v>172</v>
      </c>
      <c r="G23" s="74" t="s">
        <v>3</v>
      </c>
      <c r="H23" s="64"/>
      <c r="I23" s="64"/>
      <c r="J23" s="64"/>
      <c r="K23" s="64"/>
      <c r="L23" s="64"/>
      <c r="M23" s="64"/>
      <c r="N23" s="64"/>
      <c r="O23" s="64"/>
      <c r="P23" s="64"/>
      <c r="Q23" s="64"/>
      <c r="R23" s="64"/>
      <c r="S23" s="64"/>
      <c r="T23" s="64"/>
      <c r="U23" s="64"/>
      <c r="V23" s="64"/>
      <c r="W23" s="64"/>
      <c r="X23" s="64"/>
      <c r="Y23" s="64"/>
      <c r="Z23" s="64"/>
    </row>
    <row r="24" outlineLevel="1">
      <c r="A24" s="72" t="s">
        <v>173</v>
      </c>
      <c r="B24" s="72" t="s">
        <v>174</v>
      </c>
      <c r="C24" s="72" t="s">
        <v>169</v>
      </c>
      <c r="D24" s="72" t="s">
        <v>170</v>
      </c>
      <c r="E24" s="72" t="s">
        <v>175</v>
      </c>
      <c r="F24" s="72" t="s">
        <v>172</v>
      </c>
      <c r="G24" s="74" t="s">
        <v>3</v>
      </c>
      <c r="H24" s="64"/>
      <c r="I24" s="64"/>
      <c r="J24" s="64"/>
      <c r="K24" s="64"/>
      <c r="L24" s="64"/>
      <c r="M24" s="64"/>
      <c r="N24" s="64"/>
      <c r="O24" s="64"/>
      <c r="P24" s="64"/>
      <c r="Q24" s="64"/>
      <c r="R24" s="64"/>
      <c r="S24" s="64"/>
      <c r="T24" s="64"/>
      <c r="U24" s="64"/>
      <c r="V24" s="64"/>
      <c r="W24" s="64"/>
      <c r="X24" s="64"/>
      <c r="Y24" s="64"/>
      <c r="Z24" s="64"/>
    </row>
    <row r="25" outlineLevel="1">
      <c r="A25" s="72" t="s">
        <v>176</v>
      </c>
      <c r="B25" s="72" t="s">
        <v>177</v>
      </c>
      <c r="C25" s="72" t="s">
        <v>178</v>
      </c>
      <c r="D25" s="72" t="s">
        <v>179</v>
      </c>
      <c r="E25" s="72" t="s">
        <v>180</v>
      </c>
      <c r="F25" s="73"/>
      <c r="G25" s="74" t="s">
        <v>3</v>
      </c>
      <c r="H25" s="64"/>
      <c r="I25" s="64"/>
      <c r="J25" s="64"/>
      <c r="K25" s="64"/>
      <c r="L25" s="64"/>
      <c r="M25" s="64"/>
      <c r="N25" s="64"/>
      <c r="O25" s="64"/>
      <c r="P25" s="64"/>
      <c r="Q25" s="64"/>
      <c r="R25" s="64"/>
      <c r="S25" s="64"/>
      <c r="T25" s="64"/>
      <c r="U25" s="64"/>
      <c r="V25" s="64"/>
      <c r="W25" s="64"/>
      <c r="X25" s="64"/>
      <c r="Y25" s="64"/>
      <c r="Z25" s="64"/>
    </row>
    <row r="26" outlineLevel="1">
      <c r="A26" s="72" t="s">
        <v>181</v>
      </c>
      <c r="B26" s="72" t="s">
        <v>182</v>
      </c>
      <c r="C26" s="72" t="s">
        <v>178</v>
      </c>
      <c r="D26" s="72" t="s">
        <v>183</v>
      </c>
      <c r="E26" s="72" t="s">
        <v>184</v>
      </c>
      <c r="F26" s="73"/>
      <c r="G26" s="74" t="s">
        <v>3</v>
      </c>
      <c r="H26" s="64"/>
      <c r="I26" s="64"/>
      <c r="J26" s="64"/>
      <c r="K26" s="64"/>
      <c r="L26" s="64"/>
      <c r="M26" s="64"/>
      <c r="N26" s="64"/>
      <c r="O26" s="64"/>
      <c r="P26" s="64"/>
      <c r="Q26" s="64"/>
      <c r="R26" s="64"/>
      <c r="S26" s="64"/>
      <c r="T26" s="64"/>
      <c r="U26" s="64"/>
      <c r="V26" s="64"/>
      <c r="W26" s="64"/>
      <c r="X26" s="64"/>
      <c r="Y26" s="64"/>
      <c r="Z26" s="64"/>
    </row>
    <row r="27" outlineLevel="1">
      <c r="A27" s="72" t="s">
        <v>185</v>
      </c>
      <c r="B27" s="72" t="s">
        <v>186</v>
      </c>
      <c r="C27" s="72" t="s">
        <v>178</v>
      </c>
      <c r="D27" s="72" t="s">
        <v>187</v>
      </c>
      <c r="E27" s="72" t="s">
        <v>188</v>
      </c>
      <c r="F27" s="73"/>
      <c r="G27" s="74" t="s">
        <v>3</v>
      </c>
      <c r="H27" s="64"/>
      <c r="I27" s="64"/>
      <c r="J27" s="64"/>
      <c r="K27" s="64"/>
      <c r="L27" s="64"/>
      <c r="M27" s="64"/>
      <c r="N27" s="64"/>
      <c r="O27" s="64"/>
      <c r="P27" s="64"/>
      <c r="Q27" s="64"/>
      <c r="R27" s="64"/>
      <c r="S27" s="64"/>
      <c r="T27" s="64"/>
      <c r="U27" s="64"/>
      <c r="V27" s="64"/>
      <c r="W27" s="64"/>
      <c r="X27" s="64"/>
      <c r="Y27" s="64"/>
      <c r="Z27" s="64"/>
    </row>
    <row r="28" outlineLevel="1">
      <c r="A28" s="72" t="s">
        <v>189</v>
      </c>
      <c r="B28" s="72" t="s">
        <v>190</v>
      </c>
      <c r="C28" s="72" t="s">
        <v>191</v>
      </c>
      <c r="D28" s="72" t="s">
        <v>192</v>
      </c>
      <c r="E28" s="72" t="s">
        <v>193</v>
      </c>
      <c r="F28" s="73"/>
      <c r="G28" s="74" t="s">
        <v>3</v>
      </c>
      <c r="H28" s="64"/>
      <c r="I28" s="64"/>
      <c r="J28" s="64"/>
      <c r="K28" s="64"/>
      <c r="L28" s="64"/>
      <c r="M28" s="64"/>
      <c r="N28" s="64"/>
      <c r="O28" s="64"/>
      <c r="P28" s="64"/>
      <c r="Q28" s="64"/>
      <c r="R28" s="64"/>
      <c r="S28" s="64"/>
      <c r="T28" s="64"/>
      <c r="U28" s="64"/>
      <c r="V28" s="64"/>
      <c r="W28" s="64"/>
      <c r="X28" s="64"/>
      <c r="Y28" s="64"/>
      <c r="Z28" s="64"/>
    </row>
    <row r="29" outlineLevel="1">
      <c r="A29" s="72" t="s">
        <v>194</v>
      </c>
      <c r="B29" s="72" t="s">
        <v>195</v>
      </c>
      <c r="C29" s="72" t="s">
        <v>196</v>
      </c>
      <c r="D29" s="72" t="s">
        <v>197</v>
      </c>
      <c r="E29" s="72" t="s">
        <v>198</v>
      </c>
      <c r="F29" s="73"/>
      <c r="G29" s="74" t="s">
        <v>3</v>
      </c>
      <c r="H29" s="64"/>
      <c r="I29" s="64"/>
      <c r="J29" s="64"/>
      <c r="K29" s="64"/>
      <c r="L29" s="64"/>
      <c r="M29" s="64"/>
      <c r="N29" s="64"/>
      <c r="O29" s="64"/>
      <c r="P29" s="64"/>
      <c r="Q29" s="64"/>
      <c r="R29" s="64"/>
      <c r="S29" s="64"/>
      <c r="T29" s="64"/>
      <c r="U29" s="64"/>
      <c r="V29" s="64"/>
      <c r="W29" s="64"/>
      <c r="X29" s="64"/>
      <c r="Y29" s="64"/>
      <c r="Z29" s="64"/>
    </row>
    <row r="30" outlineLevel="1">
      <c r="A30" s="72" t="s">
        <v>199</v>
      </c>
      <c r="B30" s="72" t="s">
        <v>200</v>
      </c>
      <c r="C30" s="72" t="s">
        <v>196</v>
      </c>
      <c r="D30" s="72" t="s">
        <v>201</v>
      </c>
      <c r="E30" s="72" t="s">
        <v>202</v>
      </c>
      <c r="F30" s="79"/>
      <c r="G30" s="74" t="s">
        <v>3</v>
      </c>
      <c r="H30" s="64"/>
      <c r="I30" s="64"/>
      <c r="J30" s="64"/>
      <c r="K30" s="64"/>
      <c r="L30" s="64"/>
      <c r="M30" s="64"/>
      <c r="N30" s="64"/>
      <c r="O30" s="64"/>
      <c r="P30" s="64"/>
      <c r="Q30" s="64"/>
      <c r="R30" s="64"/>
      <c r="S30" s="64"/>
      <c r="T30" s="64"/>
      <c r="U30" s="64"/>
      <c r="V30" s="64"/>
      <c r="W30" s="64"/>
      <c r="X30" s="64"/>
      <c r="Y30" s="64"/>
      <c r="Z30" s="64"/>
    </row>
    <row r="31" outlineLevel="1">
      <c r="A31" s="72" t="s">
        <v>203</v>
      </c>
      <c r="B31" s="72" t="s">
        <v>204</v>
      </c>
      <c r="C31" s="72" t="s">
        <v>205</v>
      </c>
      <c r="D31" s="72" t="s">
        <v>206</v>
      </c>
      <c r="E31" s="72" t="s">
        <v>207</v>
      </c>
      <c r="F31" s="73"/>
      <c r="G31" s="74" t="s">
        <v>3</v>
      </c>
      <c r="H31" s="64"/>
      <c r="I31" s="64"/>
      <c r="J31" s="64"/>
      <c r="K31" s="64"/>
      <c r="L31" s="64"/>
      <c r="M31" s="64"/>
      <c r="N31" s="64"/>
      <c r="O31" s="64"/>
      <c r="P31" s="64"/>
      <c r="Q31" s="64"/>
      <c r="R31" s="64"/>
      <c r="S31" s="64"/>
      <c r="T31" s="64"/>
      <c r="U31" s="64"/>
      <c r="V31" s="64"/>
      <c r="W31" s="64"/>
      <c r="X31" s="64"/>
      <c r="Y31" s="64"/>
      <c r="Z31" s="64"/>
    </row>
    <row r="32" outlineLevel="1">
      <c r="A32" s="69"/>
      <c r="B32" s="70" t="s">
        <v>208</v>
      </c>
      <c r="C32" s="69"/>
      <c r="D32" s="69"/>
      <c r="E32" s="69"/>
      <c r="F32" s="71"/>
      <c r="G32" s="71"/>
      <c r="H32" s="64"/>
      <c r="I32" s="64"/>
      <c r="J32" s="64"/>
      <c r="K32" s="64"/>
      <c r="L32" s="64"/>
      <c r="M32" s="64"/>
      <c r="N32" s="64"/>
      <c r="O32" s="64"/>
      <c r="P32" s="64"/>
      <c r="Q32" s="64"/>
      <c r="R32" s="64"/>
      <c r="S32" s="64"/>
      <c r="T32" s="64"/>
      <c r="U32" s="64"/>
      <c r="V32" s="64"/>
      <c r="W32" s="64"/>
      <c r="X32" s="64"/>
      <c r="Y32" s="64"/>
      <c r="Z32" s="64"/>
    </row>
    <row r="33" outlineLevel="1">
      <c r="A33" s="72" t="s">
        <v>209</v>
      </c>
      <c r="B33" s="72" t="s">
        <v>210</v>
      </c>
      <c r="C33" s="72" t="s">
        <v>211</v>
      </c>
      <c r="D33" s="72" t="s">
        <v>212</v>
      </c>
      <c r="E33" s="72" t="s">
        <v>213</v>
      </c>
      <c r="F33" s="79"/>
      <c r="G33" s="74" t="s">
        <v>3</v>
      </c>
      <c r="H33" s="64"/>
      <c r="I33" s="64"/>
      <c r="J33" s="64"/>
      <c r="K33" s="64"/>
      <c r="L33" s="64"/>
      <c r="M33" s="64"/>
      <c r="N33" s="64"/>
      <c r="O33" s="64"/>
      <c r="P33" s="64"/>
      <c r="Q33" s="64"/>
      <c r="R33" s="64"/>
      <c r="S33" s="64"/>
      <c r="T33" s="64"/>
      <c r="U33" s="64"/>
      <c r="V33" s="64"/>
      <c r="W33" s="64"/>
      <c r="X33" s="64"/>
      <c r="Y33" s="64"/>
      <c r="Z33" s="64"/>
    </row>
    <row r="34" outlineLevel="1">
      <c r="A34" s="72" t="s">
        <v>214</v>
      </c>
      <c r="B34" s="72" t="s">
        <v>215</v>
      </c>
      <c r="C34" s="72" t="s">
        <v>216</v>
      </c>
      <c r="D34" s="72" t="s">
        <v>217</v>
      </c>
      <c r="E34" s="72" t="s">
        <v>218</v>
      </c>
      <c r="F34" s="73"/>
      <c r="G34" s="74" t="s">
        <v>3</v>
      </c>
      <c r="H34" s="64"/>
      <c r="I34" s="64"/>
      <c r="J34" s="64"/>
      <c r="K34" s="64"/>
      <c r="L34" s="64"/>
      <c r="M34" s="64"/>
      <c r="N34" s="64"/>
      <c r="O34" s="64"/>
      <c r="P34" s="64"/>
      <c r="Q34" s="64"/>
      <c r="R34" s="64"/>
      <c r="S34" s="64"/>
      <c r="T34" s="64"/>
      <c r="U34" s="64"/>
      <c r="V34" s="64"/>
      <c r="W34" s="64"/>
      <c r="X34" s="64"/>
      <c r="Y34" s="64"/>
      <c r="Z34" s="64"/>
    </row>
    <row r="35" outlineLevel="1">
      <c r="A35" s="72" t="s">
        <v>219</v>
      </c>
      <c r="B35" s="72" t="s">
        <v>220</v>
      </c>
      <c r="C35" s="72" t="s">
        <v>216</v>
      </c>
      <c r="D35" s="72" t="s">
        <v>221</v>
      </c>
      <c r="E35" s="72" t="s">
        <v>222</v>
      </c>
      <c r="F35" s="73"/>
      <c r="G35" s="74" t="s">
        <v>3</v>
      </c>
      <c r="H35" s="64"/>
      <c r="I35" s="64"/>
      <c r="J35" s="64"/>
      <c r="K35" s="64"/>
      <c r="L35" s="64"/>
      <c r="M35" s="64"/>
      <c r="N35" s="64"/>
      <c r="O35" s="64"/>
      <c r="P35" s="64"/>
      <c r="Q35" s="64"/>
      <c r="R35" s="64"/>
      <c r="S35" s="64"/>
      <c r="T35" s="64"/>
      <c r="U35" s="64"/>
      <c r="V35" s="64"/>
      <c r="W35" s="64"/>
      <c r="X35" s="64"/>
      <c r="Y35" s="64"/>
      <c r="Z35" s="64"/>
    </row>
    <row r="36" outlineLevel="1">
      <c r="A36" s="72" t="s">
        <v>223</v>
      </c>
      <c r="B36" s="72" t="s">
        <v>224</v>
      </c>
      <c r="C36" s="72" t="s">
        <v>216</v>
      </c>
      <c r="D36" s="72" t="s">
        <v>225</v>
      </c>
      <c r="E36" s="72" t="s">
        <v>226</v>
      </c>
      <c r="F36" s="73"/>
      <c r="G36" s="74" t="s">
        <v>3</v>
      </c>
      <c r="H36" s="64"/>
      <c r="I36" s="64"/>
      <c r="J36" s="64"/>
      <c r="K36" s="64"/>
      <c r="L36" s="64"/>
      <c r="M36" s="64"/>
      <c r="N36" s="64"/>
      <c r="O36" s="64"/>
      <c r="P36" s="64"/>
      <c r="Q36" s="64"/>
      <c r="R36" s="64"/>
      <c r="S36" s="64"/>
      <c r="T36" s="64"/>
      <c r="U36" s="64"/>
      <c r="V36" s="64"/>
      <c r="W36" s="64"/>
      <c r="X36" s="64"/>
      <c r="Y36" s="64"/>
      <c r="Z36" s="64"/>
    </row>
    <row r="37" outlineLevel="1">
      <c r="A37" s="72" t="s">
        <v>227</v>
      </c>
      <c r="B37" s="72" t="s">
        <v>228</v>
      </c>
      <c r="C37" s="72" t="s">
        <v>216</v>
      </c>
      <c r="D37" s="72" t="s">
        <v>229</v>
      </c>
      <c r="E37" s="72" t="s">
        <v>230</v>
      </c>
      <c r="F37" s="73"/>
      <c r="G37" s="74" t="s">
        <v>3</v>
      </c>
      <c r="H37" s="64"/>
      <c r="I37" s="64"/>
      <c r="J37" s="64"/>
      <c r="K37" s="64"/>
      <c r="L37" s="64"/>
      <c r="M37" s="64"/>
      <c r="N37" s="64"/>
      <c r="O37" s="64"/>
      <c r="P37" s="64"/>
      <c r="Q37" s="64"/>
      <c r="R37" s="64"/>
      <c r="S37" s="64"/>
      <c r="T37" s="64"/>
      <c r="U37" s="64"/>
      <c r="V37" s="64"/>
      <c r="W37" s="64"/>
      <c r="X37" s="64"/>
      <c r="Y37" s="64"/>
      <c r="Z37" s="64"/>
    </row>
    <row r="38" outlineLevel="1">
      <c r="A38" s="72" t="s">
        <v>231</v>
      </c>
      <c r="B38" s="72" t="s">
        <v>232</v>
      </c>
      <c r="C38" s="72" t="s">
        <v>216</v>
      </c>
      <c r="D38" s="72" t="s">
        <v>233</v>
      </c>
      <c r="E38" s="72" t="s">
        <v>234</v>
      </c>
      <c r="F38" s="79"/>
      <c r="G38" s="74" t="s">
        <v>3</v>
      </c>
      <c r="H38" s="64"/>
      <c r="I38" s="64"/>
      <c r="J38" s="64"/>
      <c r="K38" s="64"/>
      <c r="L38" s="64"/>
      <c r="M38" s="64"/>
      <c r="N38" s="64"/>
      <c r="O38" s="64"/>
      <c r="P38" s="64"/>
      <c r="Q38" s="64"/>
      <c r="R38" s="64"/>
      <c r="S38" s="64"/>
      <c r="T38" s="64"/>
      <c r="U38" s="64"/>
      <c r="V38" s="64"/>
      <c r="W38" s="64"/>
      <c r="X38" s="64"/>
      <c r="Y38" s="64"/>
      <c r="Z38" s="64"/>
    </row>
    <row r="39" outlineLevel="1">
      <c r="A39" s="72" t="s">
        <v>235</v>
      </c>
      <c r="B39" s="72" t="s">
        <v>236</v>
      </c>
      <c r="C39" s="72" t="s">
        <v>216</v>
      </c>
      <c r="D39" s="72" t="s">
        <v>237</v>
      </c>
      <c r="E39" s="72" t="s">
        <v>238</v>
      </c>
      <c r="F39" s="73"/>
      <c r="G39" s="74" t="s">
        <v>3</v>
      </c>
      <c r="H39" s="64"/>
      <c r="I39" s="64"/>
      <c r="J39" s="64"/>
      <c r="K39" s="64"/>
      <c r="L39" s="64"/>
      <c r="M39" s="64"/>
      <c r="N39" s="64"/>
      <c r="O39" s="64"/>
      <c r="P39" s="64"/>
      <c r="Q39" s="64"/>
      <c r="R39" s="64"/>
      <c r="S39" s="64"/>
      <c r="T39" s="64"/>
      <c r="U39" s="64"/>
      <c r="V39" s="64"/>
      <c r="W39" s="64"/>
      <c r="X39" s="64"/>
      <c r="Y39" s="64"/>
      <c r="Z39" s="64"/>
    </row>
    <row r="40" outlineLevel="1">
      <c r="A40" s="72" t="s">
        <v>239</v>
      </c>
      <c r="B40" s="72" t="s">
        <v>240</v>
      </c>
      <c r="C40" s="72" t="s">
        <v>216</v>
      </c>
      <c r="D40" s="72" t="s">
        <v>241</v>
      </c>
      <c r="E40" s="72" t="s">
        <v>242</v>
      </c>
      <c r="F40" s="73"/>
      <c r="G40" s="74" t="s">
        <v>3</v>
      </c>
      <c r="H40" s="64"/>
      <c r="I40" s="64"/>
      <c r="J40" s="64"/>
      <c r="K40" s="64"/>
      <c r="L40" s="64"/>
      <c r="M40" s="64"/>
      <c r="N40" s="64"/>
      <c r="O40" s="64"/>
      <c r="P40" s="64"/>
      <c r="Q40" s="64"/>
      <c r="R40" s="64"/>
      <c r="S40" s="64"/>
      <c r="T40" s="64"/>
      <c r="U40" s="64"/>
      <c r="V40" s="64"/>
      <c r="W40" s="64"/>
      <c r="X40" s="64"/>
      <c r="Y40" s="64"/>
      <c r="Z40" s="64"/>
    </row>
    <row r="41" outlineLevel="1">
      <c r="A41" s="72" t="s">
        <v>243</v>
      </c>
      <c r="B41" s="72" t="s">
        <v>244</v>
      </c>
      <c r="C41" s="72" t="s">
        <v>216</v>
      </c>
      <c r="D41" s="72" t="s">
        <v>245</v>
      </c>
      <c r="E41" s="72" t="s">
        <v>246</v>
      </c>
      <c r="F41" s="80"/>
      <c r="G41" s="74" t="s">
        <v>3</v>
      </c>
      <c r="H41" s="64"/>
      <c r="I41" s="64"/>
      <c r="J41" s="64"/>
      <c r="K41" s="64"/>
      <c r="L41" s="64"/>
      <c r="M41" s="64"/>
      <c r="N41" s="64"/>
      <c r="O41" s="64"/>
      <c r="P41" s="64"/>
      <c r="Q41" s="64"/>
      <c r="R41" s="64"/>
      <c r="S41" s="64"/>
      <c r="T41" s="64"/>
      <c r="U41" s="64"/>
      <c r="V41" s="64"/>
      <c r="W41" s="64"/>
      <c r="X41" s="64"/>
      <c r="Y41" s="64"/>
      <c r="Z41" s="64"/>
    </row>
    <row r="42" outlineLevel="1">
      <c r="A42" s="72" t="s">
        <v>247</v>
      </c>
      <c r="B42" s="72" t="s">
        <v>248</v>
      </c>
      <c r="C42" s="72" t="s">
        <v>216</v>
      </c>
      <c r="D42" s="72" t="s">
        <v>249</v>
      </c>
      <c r="E42" s="72" t="s">
        <v>250</v>
      </c>
      <c r="F42" s="80"/>
      <c r="G42" s="74" t="s">
        <v>3</v>
      </c>
      <c r="H42" s="64"/>
      <c r="I42" s="64"/>
      <c r="J42" s="64"/>
      <c r="K42" s="64"/>
      <c r="L42" s="64"/>
      <c r="M42" s="64"/>
      <c r="N42" s="64"/>
      <c r="O42" s="64"/>
      <c r="P42" s="64"/>
      <c r="Q42" s="64"/>
      <c r="R42" s="64"/>
      <c r="S42" s="64"/>
      <c r="T42" s="64"/>
      <c r="U42" s="64"/>
      <c r="V42" s="64"/>
      <c r="W42" s="64"/>
      <c r="X42" s="64"/>
      <c r="Y42" s="64"/>
      <c r="Z42" s="64"/>
    </row>
    <row r="43" outlineLevel="1">
      <c r="A43" s="72" t="s">
        <v>251</v>
      </c>
      <c r="B43" s="72" t="s">
        <v>252</v>
      </c>
      <c r="C43" s="72" t="s">
        <v>216</v>
      </c>
      <c r="D43" s="72" t="s">
        <v>253</v>
      </c>
      <c r="E43" s="72" t="s">
        <v>254</v>
      </c>
      <c r="F43" s="80"/>
      <c r="G43" s="74" t="s">
        <v>3</v>
      </c>
      <c r="H43" s="64"/>
      <c r="I43" s="64"/>
      <c r="J43" s="64"/>
      <c r="K43" s="64"/>
      <c r="L43" s="64"/>
      <c r="M43" s="64"/>
      <c r="N43" s="64"/>
      <c r="O43" s="64"/>
      <c r="P43" s="64"/>
      <c r="Q43" s="64"/>
      <c r="R43" s="64"/>
      <c r="S43" s="64"/>
      <c r="T43" s="64"/>
      <c r="U43" s="64"/>
      <c r="V43" s="64"/>
      <c r="W43" s="64"/>
      <c r="X43" s="64"/>
      <c r="Y43" s="64"/>
      <c r="Z43" s="64"/>
    </row>
    <row r="44" outlineLevel="1">
      <c r="A44" s="72" t="s">
        <v>255</v>
      </c>
      <c r="B44" s="72" t="s">
        <v>256</v>
      </c>
      <c r="C44" s="72" t="s">
        <v>216</v>
      </c>
      <c r="D44" s="72" t="s">
        <v>253</v>
      </c>
      <c r="E44" s="72" t="s">
        <v>257</v>
      </c>
      <c r="F44" s="80"/>
      <c r="G44" s="74" t="s">
        <v>3</v>
      </c>
      <c r="H44" s="64"/>
      <c r="I44" s="64"/>
      <c r="J44" s="64"/>
      <c r="K44" s="64"/>
      <c r="L44" s="64"/>
      <c r="M44" s="64"/>
      <c r="N44" s="64"/>
      <c r="O44" s="64"/>
      <c r="P44" s="64"/>
      <c r="Q44" s="64"/>
      <c r="R44" s="64"/>
      <c r="S44" s="64"/>
      <c r="T44" s="64"/>
      <c r="U44" s="64"/>
      <c r="V44" s="64"/>
      <c r="W44" s="64"/>
      <c r="X44" s="64"/>
      <c r="Y44" s="64"/>
      <c r="Z44" s="64"/>
    </row>
    <row r="45" outlineLevel="1">
      <c r="A45" s="72" t="s">
        <v>258</v>
      </c>
      <c r="B45" s="72" t="s">
        <v>259</v>
      </c>
      <c r="C45" s="72" t="s">
        <v>216</v>
      </c>
      <c r="D45" s="72" t="s">
        <v>260</v>
      </c>
      <c r="E45" s="72" t="s">
        <v>261</v>
      </c>
      <c r="F45" s="81" t="s">
        <v>262</v>
      </c>
      <c r="G45" s="74" t="s">
        <v>3</v>
      </c>
      <c r="H45" s="64"/>
      <c r="I45" s="64"/>
      <c r="J45" s="64"/>
      <c r="K45" s="64"/>
      <c r="L45" s="64"/>
      <c r="M45" s="64"/>
      <c r="N45" s="64"/>
      <c r="O45" s="64"/>
      <c r="P45" s="64"/>
      <c r="Q45" s="64"/>
      <c r="R45" s="64"/>
      <c r="S45" s="64"/>
      <c r="T45" s="64"/>
      <c r="U45" s="64"/>
      <c r="V45" s="64"/>
      <c r="W45" s="64"/>
      <c r="X45" s="64"/>
      <c r="Y45" s="64"/>
      <c r="Z45" s="64"/>
    </row>
    <row r="46" outlineLevel="1">
      <c r="A46" s="72" t="s">
        <v>263</v>
      </c>
      <c r="B46" s="72" t="s">
        <v>264</v>
      </c>
      <c r="C46" s="72" t="s">
        <v>216</v>
      </c>
      <c r="D46" s="72" t="s">
        <v>265</v>
      </c>
      <c r="E46" s="72" t="s">
        <v>266</v>
      </c>
      <c r="F46" s="80"/>
      <c r="G46" s="74" t="s">
        <v>3</v>
      </c>
      <c r="H46" s="64"/>
      <c r="I46" s="64"/>
      <c r="J46" s="64"/>
      <c r="K46" s="64"/>
      <c r="L46" s="64"/>
      <c r="M46" s="64"/>
      <c r="N46" s="64"/>
      <c r="O46" s="64"/>
      <c r="P46" s="64"/>
      <c r="Q46" s="64"/>
      <c r="R46" s="64"/>
      <c r="S46" s="64"/>
      <c r="T46" s="64"/>
      <c r="U46" s="64"/>
      <c r="V46" s="64"/>
      <c r="W46" s="64"/>
      <c r="X46" s="64"/>
      <c r="Y46" s="64"/>
      <c r="Z46" s="64"/>
    </row>
    <row r="47" outlineLevel="1">
      <c r="A47" s="72" t="s">
        <v>267</v>
      </c>
      <c r="B47" s="72" t="s">
        <v>268</v>
      </c>
      <c r="C47" s="72" t="s">
        <v>269</v>
      </c>
      <c r="D47" s="72" t="s">
        <v>270</v>
      </c>
      <c r="E47" s="72" t="s">
        <v>271</v>
      </c>
      <c r="F47" s="80"/>
      <c r="G47" s="74" t="s">
        <v>3</v>
      </c>
      <c r="H47" s="64"/>
      <c r="I47" s="64"/>
      <c r="J47" s="64"/>
      <c r="K47" s="64"/>
      <c r="L47" s="64"/>
      <c r="M47" s="64"/>
      <c r="N47" s="64"/>
      <c r="O47" s="64"/>
      <c r="P47" s="64"/>
      <c r="Q47" s="64"/>
      <c r="R47" s="64"/>
      <c r="S47" s="64"/>
      <c r="T47" s="64"/>
      <c r="U47" s="64"/>
      <c r="V47" s="64"/>
      <c r="W47" s="64"/>
      <c r="X47" s="64"/>
      <c r="Y47" s="64"/>
      <c r="Z47" s="64"/>
    </row>
    <row r="48" outlineLevel="1">
      <c r="A48" s="72" t="s">
        <v>272</v>
      </c>
      <c r="B48" s="72" t="s">
        <v>273</v>
      </c>
      <c r="C48" s="72" t="s">
        <v>274</v>
      </c>
      <c r="D48" s="72" t="s">
        <v>275</v>
      </c>
      <c r="E48" s="72" t="s">
        <v>276</v>
      </c>
      <c r="F48" s="80"/>
      <c r="G48" s="74" t="s">
        <v>3</v>
      </c>
      <c r="H48" s="64"/>
      <c r="I48" s="64"/>
      <c r="J48" s="64"/>
      <c r="K48" s="64"/>
      <c r="L48" s="64"/>
      <c r="M48" s="64"/>
      <c r="N48" s="64"/>
      <c r="O48" s="64"/>
      <c r="P48" s="64"/>
      <c r="Q48" s="64"/>
      <c r="R48" s="64"/>
      <c r="S48" s="64"/>
      <c r="T48" s="64"/>
      <c r="U48" s="64"/>
      <c r="V48" s="64"/>
      <c r="W48" s="64"/>
      <c r="X48" s="64"/>
      <c r="Y48" s="64"/>
      <c r="Z48" s="64"/>
    </row>
    <row r="49" outlineLevel="1">
      <c r="A49" s="69"/>
      <c r="B49" s="70" t="s">
        <v>277</v>
      </c>
      <c r="C49" s="69"/>
      <c r="D49" s="69"/>
      <c r="E49" s="69"/>
      <c r="F49" s="71"/>
      <c r="G49" s="71"/>
      <c r="H49" s="64"/>
      <c r="I49" s="64"/>
      <c r="J49" s="64"/>
      <c r="K49" s="64"/>
      <c r="L49" s="64"/>
      <c r="M49" s="64"/>
      <c r="N49" s="64"/>
      <c r="O49" s="64"/>
      <c r="P49" s="64"/>
      <c r="Q49" s="64"/>
      <c r="R49" s="64"/>
      <c r="S49" s="64"/>
      <c r="T49" s="64"/>
      <c r="U49" s="64"/>
      <c r="V49" s="64"/>
      <c r="W49" s="64"/>
      <c r="X49" s="64"/>
      <c r="Y49" s="64"/>
      <c r="Z49" s="64"/>
    </row>
    <row r="50" outlineLevel="1">
      <c r="A50" s="72" t="s">
        <v>278</v>
      </c>
      <c r="B50" s="72" t="s">
        <v>279</v>
      </c>
      <c r="C50" s="72" t="s">
        <v>280</v>
      </c>
      <c r="D50" s="72" t="s">
        <v>281</v>
      </c>
      <c r="E50" s="72" t="s">
        <v>282</v>
      </c>
      <c r="F50" s="80"/>
      <c r="G50" s="74" t="s">
        <v>3</v>
      </c>
      <c r="H50" s="64"/>
      <c r="I50" s="64"/>
      <c r="J50" s="64"/>
      <c r="K50" s="64"/>
      <c r="L50" s="64"/>
      <c r="M50" s="64"/>
      <c r="N50" s="64"/>
      <c r="O50" s="64"/>
      <c r="P50" s="64"/>
      <c r="Q50" s="64"/>
      <c r="R50" s="64"/>
      <c r="S50" s="64"/>
      <c r="T50" s="64"/>
      <c r="U50" s="64"/>
      <c r="V50" s="64"/>
      <c r="W50" s="64"/>
      <c r="X50" s="64"/>
      <c r="Y50" s="64"/>
      <c r="Z50" s="64"/>
    </row>
    <row r="51" outlineLevel="1">
      <c r="A51" s="72" t="s">
        <v>283</v>
      </c>
      <c r="B51" s="72" t="s">
        <v>284</v>
      </c>
      <c r="C51" s="72" t="s">
        <v>280</v>
      </c>
      <c r="D51" s="72" t="s">
        <v>281</v>
      </c>
      <c r="E51" s="72" t="s">
        <v>285</v>
      </c>
      <c r="F51" s="80"/>
      <c r="G51" s="74" t="s">
        <v>3</v>
      </c>
      <c r="H51" s="64"/>
      <c r="I51" s="64"/>
      <c r="J51" s="64"/>
      <c r="K51" s="64"/>
      <c r="L51" s="64"/>
      <c r="M51" s="64"/>
      <c r="N51" s="64"/>
      <c r="O51" s="64"/>
      <c r="P51" s="64"/>
      <c r="Q51" s="64"/>
      <c r="R51" s="64"/>
      <c r="S51" s="64"/>
      <c r="T51" s="64"/>
      <c r="U51" s="64"/>
      <c r="V51" s="64"/>
      <c r="W51" s="64"/>
      <c r="X51" s="64"/>
      <c r="Y51" s="64"/>
      <c r="Z51" s="64"/>
    </row>
    <row r="52" outlineLevel="1">
      <c r="A52" s="72" t="s">
        <v>286</v>
      </c>
      <c r="B52" s="72" t="s">
        <v>287</v>
      </c>
      <c r="C52" s="72" t="s">
        <v>288</v>
      </c>
      <c r="D52" s="72" t="s">
        <v>289</v>
      </c>
      <c r="E52" s="72" t="s">
        <v>290</v>
      </c>
      <c r="F52" s="80"/>
      <c r="G52" s="74" t="s">
        <v>3</v>
      </c>
      <c r="H52" s="64"/>
      <c r="I52" s="64"/>
      <c r="J52" s="64"/>
      <c r="K52" s="64"/>
      <c r="L52" s="64"/>
      <c r="M52" s="64"/>
      <c r="N52" s="64"/>
      <c r="O52" s="64"/>
      <c r="P52" s="64"/>
      <c r="Q52" s="64"/>
      <c r="R52" s="64"/>
      <c r="S52" s="64"/>
      <c r="T52" s="64"/>
      <c r="U52" s="64"/>
      <c r="V52" s="64"/>
      <c r="W52" s="64"/>
      <c r="X52" s="64"/>
      <c r="Y52" s="64"/>
      <c r="Z52" s="64"/>
    </row>
    <row r="53" outlineLevel="1">
      <c r="A53" s="72" t="s">
        <v>291</v>
      </c>
      <c r="B53" s="72" t="s">
        <v>292</v>
      </c>
      <c r="C53" s="72" t="s">
        <v>293</v>
      </c>
      <c r="D53" s="72" t="s">
        <v>294</v>
      </c>
      <c r="E53" s="72" t="s">
        <v>295</v>
      </c>
      <c r="F53" s="80"/>
      <c r="G53" s="74" t="s">
        <v>3</v>
      </c>
      <c r="H53" s="64"/>
      <c r="I53" s="64"/>
      <c r="J53" s="64"/>
      <c r="K53" s="64"/>
      <c r="L53" s="64"/>
      <c r="M53" s="64"/>
      <c r="N53" s="64"/>
      <c r="O53" s="64"/>
      <c r="P53" s="64"/>
      <c r="Q53" s="64"/>
      <c r="R53" s="64"/>
      <c r="S53" s="64"/>
      <c r="T53" s="64"/>
      <c r="U53" s="64"/>
      <c r="V53" s="64"/>
      <c r="W53" s="64"/>
      <c r="X53" s="64"/>
      <c r="Y53" s="64"/>
      <c r="Z53" s="64"/>
    </row>
    <row r="54" outlineLevel="1">
      <c r="A54" s="72" t="s">
        <v>296</v>
      </c>
      <c r="B54" s="72" t="s">
        <v>297</v>
      </c>
      <c r="C54" s="72" t="s">
        <v>298</v>
      </c>
      <c r="D54" s="72" t="s">
        <v>197</v>
      </c>
      <c r="E54" s="72" t="s">
        <v>299</v>
      </c>
      <c r="F54" s="80"/>
      <c r="G54" s="74" t="s">
        <v>3</v>
      </c>
      <c r="H54" s="64"/>
      <c r="I54" s="64"/>
      <c r="J54" s="64"/>
      <c r="K54" s="64"/>
      <c r="L54" s="64"/>
      <c r="M54" s="64"/>
      <c r="N54" s="64"/>
      <c r="O54" s="64"/>
      <c r="P54" s="64"/>
      <c r="Q54" s="64"/>
      <c r="R54" s="64"/>
      <c r="S54" s="64"/>
      <c r="T54" s="64"/>
      <c r="U54" s="64"/>
      <c r="V54" s="64"/>
      <c r="W54" s="64"/>
      <c r="X54" s="64"/>
      <c r="Y54" s="64"/>
      <c r="Z54" s="64"/>
    </row>
    <row r="55" outlineLevel="1">
      <c r="A55" s="72" t="s">
        <v>300</v>
      </c>
      <c r="B55" s="72" t="s">
        <v>301</v>
      </c>
      <c r="C55" s="72" t="s">
        <v>293</v>
      </c>
      <c r="D55" s="72" t="s">
        <v>302</v>
      </c>
      <c r="E55" s="72" t="s">
        <v>303</v>
      </c>
      <c r="F55" s="80"/>
      <c r="G55" s="74" t="s">
        <v>3</v>
      </c>
      <c r="H55" s="64"/>
      <c r="I55" s="64"/>
      <c r="J55" s="64"/>
      <c r="K55" s="64"/>
      <c r="L55" s="64"/>
      <c r="M55" s="64"/>
      <c r="N55" s="64"/>
      <c r="O55" s="64"/>
      <c r="P55" s="64"/>
      <c r="Q55" s="64"/>
      <c r="R55" s="64"/>
      <c r="S55" s="64"/>
      <c r="T55" s="64"/>
      <c r="U55" s="64"/>
      <c r="V55" s="64"/>
      <c r="W55" s="64"/>
      <c r="X55" s="64"/>
      <c r="Y55" s="64"/>
      <c r="Z55" s="64"/>
    </row>
    <row r="56" outlineLevel="1">
      <c r="A56" s="72" t="s">
        <v>304</v>
      </c>
      <c r="B56" s="72" t="s">
        <v>305</v>
      </c>
      <c r="C56" s="72" t="s">
        <v>306</v>
      </c>
      <c r="D56" s="72" t="s">
        <v>307</v>
      </c>
      <c r="E56" s="72" t="s">
        <v>308</v>
      </c>
      <c r="F56" s="80"/>
      <c r="G56" s="74" t="s">
        <v>3</v>
      </c>
      <c r="H56" s="64"/>
      <c r="I56" s="64"/>
      <c r="J56" s="64"/>
      <c r="K56" s="64"/>
      <c r="L56" s="64"/>
      <c r="M56" s="64"/>
      <c r="N56" s="64"/>
      <c r="O56" s="64"/>
      <c r="P56" s="64"/>
      <c r="Q56" s="64"/>
      <c r="R56" s="64"/>
      <c r="S56" s="64"/>
      <c r="T56" s="64"/>
      <c r="U56" s="64"/>
      <c r="V56" s="64"/>
      <c r="W56" s="64"/>
      <c r="X56" s="64"/>
      <c r="Y56" s="64"/>
      <c r="Z56" s="64"/>
    </row>
    <row r="57" outlineLevel="1">
      <c r="A57" s="72" t="s">
        <v>309</v>
      </c>
      <c r="B57" s="72" t="s">
        <v>310</v>
      </c>
      <c r="C57" s="72" t="s">
        <v>306</v>
      </c>
      <c r="D57" s="72" t="s">
        <v>311</v>
      </c>
      <c r="E57" s="72" t="s">
        <v>312</v>
      </c>
      <c r="F57" s="80"/>
      <c r="G57" s="74" t="s">
        <v>3</v>
      </c>
      <c r="H57" s="64"/>
      <c r="I57" s="64"/>
      <c r="J57" s="64"/>
      <c r="K57" s="64"/>
      <c r="L57" s="64"/>
      <c r="M57" s="64"/>
      <c r="N57" s="64"/>
      <c r="O57" s="64"/>
      <c r="P57" s="64"/>
      <c r="Q57" s="64"/>
      <c r="R57" s="64"/>
      <c r="S57" s="64"/>
      <c r="T57" s="64"/>
      <c r="U57" s="64"/>
      <c r="V57" s="64"/>
      <c r="W57" s="64"/>
      <c r="X57" s="64"/>
      <c r="Y57" s="64"/>
      <c r="Z57" s="64"/>
    </row>
    <row r="58" outlineLevel="1">
      <c r="A58" s="69"/>
      <c r="B58" s="70" t="s">
        <v>313</v>
      </c>
      <c r="C58" s="69"/>
      <c r="D58" s="69"/>
      <c r="E58" s="69"/>
      <c r="F58" s="71"/>
      <c r="G58" s="69"/>
      <c r="H58" s="64"/>
      <c r="I58" s="64"/>
      <c r="J58" s="64"/>
      <c r="K58" s="64"/>
      <c r="L58" s="64"/>
      <c r="M58" s="64"/>
      <c r="N58" s="64"/>
      <c r="O58" s="64"/>
      <c r="P58" s="64"/>
      <c r="Q58" s="64"/>
      <c r="R58" s="64"/>
      <c r="S58" s="64"/>
      <c r="T58" s="64"/>
      <c r="U58" s="64"/>
      <c r="V58" s="64"/>
      <c r="W58" s="64"/>
      <c r="X58" s="64"/>
      <c r="Y58" s="64"/>
      <c r="Z58" s="64"/>
    </row>
    <row r="59" outlineLevel="1">
      <c r="A59" s="72" t="s">
        <v>314</v>
      </c>
      <c r="B59" s="72" t="s">
        <v>315</v>
      </c>
      <c r="C59" s="72" t="s">
        <v>316</v>
      </c>
      <c r="D59" s="72" t="s">
        <v>317</v>
      </c>
      <c r="E59" s="72" t="s">
        <v>318</v>
      </c>
      <c r="F59" s="80"/>
      <c r="G59" s="74" t="s">
        <v>3</v>
      </c>
      <c r="H59" s="64"/>
      <c r="I59" s="64"/>
      <c r="J59" s="64"/>
      <c r="K59" s="64"/>
      <c r="L59" s="64"/>
      <c r="M59" s="64"/>
      <c r="N59" s="64"/>
      <c r="O59" s="64"/>
      <c r="P59" s="64"/>
      <c r="Q59" s="64"/>
      <c r="R59" s="64"/>
      <c r="S59" s="64"/>
      <c r="T59" s="64"/>
      <c r="U59" s="64"/>
      <c r="V59" s="64"/>
      <c r="W59" s="64"/>
      <c r="X59" s="64"/>
      <c r="Y59" s="64"/>
      <c r="Z59" s="64"/>
    </row>
    <row r="60" outlineLevel="1">
      <c r="A60" s="72" t="s">
        <v>319</v>
      </c>
      <c r="B60" s="72" t="s">
        <v>320</v>
      </c>
      <c r="C60" s="72" t="s">
        <v>321</v>
      </c>
      <c r="D60" s="72" t="s">
        <v>322</v>
      </c>
      <c r="E60" s="72" t="s">
        <v>323</v>
      </c>
      <c r="F60" s="80"/>
      <c r="G60" s="74" t="s">
        <v>3</v>
      </c>
      <c r="H60" s="64"/>
      <c r="I60" s="64"/>
      <c r="J60" s="64"/>
      <c r="K60" s="64"/>
      <c r="L60" s="64"/>
      <c r="M60" s="64"/>
      <c r="N60" s="64"/>
      <c r="O60" s="64"/>
      <c r="P60" s="64"/>
      <c r="Q60" s="64"/>
      <c r="R60" s="64"/>
      <c r="S60" s="64"/>
      <c r="T60" s="64"/>
      <c r="U60" s="64"/>
      <c r="V60" s="64"/>
      <c r="W60" s="64"/>
      <c r="X60" s="64"/>
      <c r="Y60" s="64"/>
      <c r="Z60" s="64"/>
    </row>
    <row r="61" outlineLevel="1">
      <c r="A61" s="72" t="s">
        <v>324</v>
      </c>
      <c r="B61" s="72" t="s">
        <v>195</v>
      </c>
      <c r="C61" s="72" t="s">
        <v>325</v>
      </c>
      <c r="D61" s="72" t="s">
        <v>197</v>
      </c>
      <c r="E61" s="72" t="s">
        <v>326</v>
      </c>
      <c r="F61" s="80"/>
      <c r="G61" s="74" t="s">
        <v>3</v>
      </c>
      <c r="H61" s="64"/>
      <c r="I61" s="64"/>
      <c r="J61" s="64"/>
      <c r="K61" s="64"/>
      <c r="L61" s="64"/>
      <c r="M61" s="64"/>
      <c r="N61" s="64"/>
      <c r="O61" s="64"/>
      <c r="P61" s="64"/>
      <c r="Q61" s="64"/>
      <c r="R61" s="64"/>
      <c r="S61" s="64"/>
      <c r="T61" s="64"/>
      <c r="U61" s="64"/>
      <c r="V61" s="64"/>
      <c r="W61" s="64"/>
      <c r="X61" s="64"/>
      <c r="Y61" s="64"/>
      <c r="Z61" s="64"/>
    </row>
    <row r="62" outlineLevel="1">
      <c r="A62" s="72" t="s">
        <v>327</v>
      </c>
      <c r="B62" s="72" t="s">
        <v>200</v>
      </c>
      <c r="C62" s="72" t="s">
        <v>325</v>
      </c>
      <c r="D62" s="72" t="s">
        <v>201</v>
      </c>
      <c r="E62" s="72" t="s">
        <v>328</v>
      </c>
      <c r="F62" s="80"/>
      <c r="G62" s="74" t="s">
        <v>3</v>
      </c>
      <c r="H62" s="64"/>
      <c r="I62" s="64"/>
      <c r="J62" s="64"/>
      <c r="K62" s="64"/>
      <c r="L62" s="64"/>
      <c r="M62" s="64"/>
      <c r="N62" s="64"/>
      <c r="O62" s="64"/>
      <c r="P62" s="64"/>
      <c r="Q62" s="64"/>
      <c r="R62" s="64"/>
      <c r="S62" s="64"/>
      <c r="T62" s="64"/>
      <c r="U62" s="64"/>
      <c r="V62" s="64"/>
      <c r="W62" s="64"/>
      <c r="X62" s="64"/>
      <c r="Y62" s="64"/>
      <c r="Z62" s="64"/>
    </row>
    <row r="63" outlineLevel="1">
      <c r="A63" s="72" t="s">
        <v>329</v>
      </c>
      <c r="B63" s="72" t="s">
        <v>330</v>
      </c>
      <c r="C63" s="72" t="s">
        <v>331</v>
      </c>
      <c r="D63" s="72" t="s">
        <v>332</v>
      </c>
      <c r="E63" s="72" t="s">
        <v>333</v>
      </c>
      <c r="F63" s="80"/>
      <c r="G63" s="74" t="s">
        <v>3</v>
      </c>
      <c r="H63" s="64"/>
      <c r="I63" s="64"/>
      <c r="J63" s="64"/>
      <c r="K63" s="64"/>
      <c r="L63" s="64"/>
      <c r="M63" s="64"/>
      <c r="N63" s="64"/>
      <c r="O63" s="64"/>
      <c r="P63" s="64"/>
      <c r="Q63" s="64"/>
      <c r="R63" s="64"/>
      <c r="S63" s="64"/>
      <c r="T63" s="64"/>
      <c r="U63" s="64"/>
      <c r="V63" s="64"/>
      <c r="W63" s="64"/>
      <c r="X63" s="64"/>
      <c r="Y63" s="64"/>
      <c r="Z63" s="64"/>
    </row>
    <row r="64" outlineLevel="1">
      <c r="A64" s="69"/>
      <c r="B64" s="70" t="s">
        <v>334</v>
      </c>
      <c r="C64" s="69"/>
      <c r="D64" s="69"/>
      <c r="E64" s="69"/>
      <c r="F64" s="71"/>
      <c r="G64" s="69"/>
      <c r="H64" s="64"/>
      <c r="I64" s="64"/>
      <c r="J64" s="64"/>
      <c r="K64" s="64"/>
      <c r="L64" s="64"/>
      <c r="M64" s="64"/>
      <c r="N64" s="64"/>
      <c r="O64" s="64"/>
      <c r="P64" s="64"/>
      <c r="Q64" s="64"/>
      <c r="R64" s="64"/>
      <c r="S64" s="64"/>
      <c r="T64" s="64"/>
      <c r="U64" s="64"/>
      <c r="V64" s="64"/>
      <c r="W64" s="64"/>
      <c r="X64" s="64"/>
      <c r="Y64" s="64"/>
      <c r="Z64" s="64"/>
    </row>
    <row r="65" outlineLevel="1">
      <c r="A65" s="72" t="s">
        <v>335</v>
      </c>
      <c r="B65" s="72" t="s">
        <v>336</v>
      </c>
      <c r="C65" s="72" t="s">
        <v>337</v>
      </c>
      <c r="D65" s="72" t="s">
        <v>338</v>
      </c>
      <c r="E65" s="72" t="s">
        <v>339</v>
      </c>
      <c r="F65" s="80"/>
      <c r="G65" s="74" t="s">
        <v>3</v>
      </c>
      <c r="H65" s="64"/>
      <c r="I65" s="64"/>
      <c r="J65" s="64"/>
      <c r="K65" s="64"/>
      <c r="L65" s="64"/>
      <c r="M65" s="64"/>
      <c r="N65" s="64"/>
      <c r="O65" s="64"/>
      <c r="P65" s="64"/>
      <c r="Q65" s="64"/>
      <c r="R65" s="64"/>
      <c r="S65" s="64"/>
      <c r="T65" s="64"/>
      <c r="U65" s="64"/>
      <c r="V65" s="64"/>
      <c r="W65" s="64"/>
      <c r="X65" s="64"/>
      <c r="Y65" s="64"/>
      <c r="Z65" s="64"/>
    </row>
    <row r="66" outlineLevel="1">
      <c r="A66" s="72" t="s">
        <v>340</v>
      </c>
      <c r="B66" s="72" t="s">
        <v>341</v>
      </c>
      <c r="C66" s="72" t="s">
        <v>342</v>
      </c>
      <c r="D66" s="72" t="s">
        <v>343</v>
      </c>
      <c r="E66" s="72" t="s">
        <v>344</v>
      </c>
      <c r="F66" s="80"/>
      <c r="G66" s="74" t="s">
        <v>3</v>
      </c>
      <c r="H66" s="64"/>
      <c r="I66" s="64"/>
      <c r="J66" s="64"/>
      <c r="K66" s="64"/>
      <c r="L66" s="64"/>
      <c r="M66" s="64"/>
      <c r="N66" s="64"/>
      <c r="O66" s="64"/>
      <c r="P66" s="64"/>
      <c r="Q66" s="64"/>
      <c r="R66" s="64"/>
      <c r="S66" s="64"/>
      <c r="T66" s="64"/>
      <c r="U66" s="64"/>
      <c r="V66" s="64"/>
      <c r="W66" s="64"/>
      <c r="X66" s="64"/>
      <c r="Y66" s="64"/>
      <c r="Z66" s="64"/>
    </row>
    <row r="67" outlineLevel="1">
      <c r="A67" s="72" t="s">
        <v>345</v>
      </c>
      <c r="B67" s="72" t="s">
        <v>346</v>
      </c>
      <c r="C67" s="72" t="s">
        <v>347</v>
      </c>
      <c r="D67" s="72" t="s">
        <v>348</v>
      </c>
      <c r="E67" s="72" t="s">
        <v>349</v>
      </c>
      <c r="F67" s="80"/>
      <c r="G67" s="74" t="s">
        <v>3</v>
      </c>
      <c r="H67" s="64"/>
      <c r="I67" s="64"/>
      <c r="J67" s="64"/>
      <c r="K67" s="64"/>
      <c r="L67" s="64"/>
      <c r="M67" s="64"/>
      <c r="N67" s="64"/>
      <c r="O67" s="64"/>
      <c r="P67" s="64"/>
      <c r="Q67" s="64"/>
      <c r="R67" s="64"/>
      <c r="S67" s="64"/>
      <c r="T67" s="64"/>
      <c r="U67" s="64"/>
      <c r="V67" s="64"/>
      <c r="W67" s="64"/>
      <c r="X67" s="64"/>
      <c r="Y67" s="64"/>
      <c r="Z67" s="64"/>
    </row>
    <row r="68" outlineLevel="1">
      <c r="A68" s="72" t="s">
        <v>350</v>
      </c>
      <c r="B68" s="72" t="s">
        <v>351</v>
      </c>
      <c r="C68" s="72" t="s">
        <v>352</v>
      </c>
      <c r="D68" s="72" t="s">
        <v>353</v>
      </c>
      <c r="E68" s="72" t="s">
        <v>354</v>
      </c>
      <c r="F68" s="80"/>
      <c r="G68" s="74" t="s">
        <v>3</v>
      </c>
      <c r="H68" s="64"/>
      <c r="I68" s="64"/>
      <c r="J68" s="64"/>
      <c r="K68" s="64"/>
      <c r="L68" s="64"/>
      <c r="M68" s="64"/>
      <c r="N68" s="64"/>
      <c r="O68" s="64"/>
      <c r="P68" s="64"/>
      <c r="Q68" s="64"/>
      <c r="R68" s="64"/>
      <c r="S68" s="64"/>
      <c r="T68" s="64"/>
      <c r="U68" s="64"/>
      <c r="V68" s="64"/>
      <c r="W68" s="64"/>
      <c r="X68" s="64"/>
      <c r="Y68" s="64"/>
      <c r="Z68" s="64"/>
    </row>
    <row r="69" outlineLevel="1">
      <c r="A69" s="72" t="s">
        <v>355</v>
      </c>
      <c r="B69" s="72" t="s">
        <v>356</v>
      </c>
      <c r="C69" s="72" t="s">
        <v>357</v>
      </c>
      <c r="D69" s="72" t="s">
        <v>358</v>
      </c>
      <c r="E69" s="72" t="s">
        <v>359</v>
      </c>
      <c r="F69" s="80"/>
      <c r="G69" s="74" t="s">
        <v>3</v>
      </c>
      <c r="H69" s="64"/>
      <c r="I69" s="64"/>
      <c r="J69" s="64"/>
      <c r="K69" s="64"/>
      <c r="L69" s="64"/>
      <c r="M69" s="64"/>
      <c r="N69" s="64"/>
      <c r="O69" s="64"/>
      <c r="P69" s="64"/>
      <c r="Q69" s="64"/>
      <c r="R69" s="64"/>
      <c r="S69" s="64"/>
      <c r="T69" s="64"/>
      <c r="U69" s="64"/>
      <c r="V69" s="64"/>
      <c r="W69" s="64"/>
      <c r="X69" s="64"/>
      <c r="Y69" s="64"/>
      <c r="Z69" s="64"/>
    </row>
    <row r="70" outlineLevel="1">
      <c r="A70" s="72" t="s">
        <v>360</v>
      </c>
      <c r="B70" s="72" t="s">
        <v>361</v>
      </c>
      <c r="C70" s="72" t="s">
        <v>357</v>
      </c>
      <c r="D70" s="72" t="s">
        <v>362</v>
      </c>
      <c r="E70" s="72" t="s">
        <v>363</v>
      </c>
      <c r="F70" s="80"/>
      <c r="G70" s="74" t="s">
        <v>3</v>
      </c>
      <c r="H70" s="64"/>
      <c r="I70" s="64"/>
      <c r="J70" s="64"/>
      <c r="K70" s="64"/>
      <c r="L70" s="64"/>
      <c r="M70" s="64"/>
      <c r="N70" s="64"/>
      <c r="O70" s="64"/>
      <c r="P70" s="64"/>
      <c r="Q70" s="64"/>
      <c r="R70" s="64"/>
      <c r="S70" s="64"/>
      <c r="T70" s="64"/>
      <c r="U70" s="64"/>
      <c r="V70" s="64"/>
      <c r="W70" s="64"/>
      <c r="X70" s="64"/>
      <c r="Y70" s="64"/>
      <c r="Z70" s="64"/>
    </row>
    <row r="71" outlineLevel="1">
      <c r="A71" s="72" t="s">
        <v>364</v>
      </c>
      <c r="B71" s="72" t="s">
        <v>365</v>
      </c>
      <c r="C71" s="72" t="s">
        <v>347</v>
      </c>
      <c r="D71" s="72" t="s">
        <v>366</v>
      </c>
      <c r="E71" s="72" t="s">
        <v>367</v>
      </c>
      <c r="F71" s="80"/>
      <c r="G71" s="74" t="s">
        <v>3</v>
      </c>
      <c r="H71" s="64"/>
      <c r="I71" s="64"/>
      <c r="J71" s="64"/>
      <c r="K71" s="64"/>
      <c r="L71" s="64"/>
      <c r="M71" s="64"/>
      <c r="N71" s="64"/>
      <c r="O71" s="64"/>
      <c r="P71" s="64"/>
      <c r="Q71" s="64"/>
      <c r="R71" s="64"/>
      <c r="S71" s="64"/>
      <c r="T71" s="64"/>
      <c r="U71" s="64"/>
      <c r="V71" s="64"/>
      <c r="W71" s="64"/>
      <c r="X71" s="64"/>
      <c r="Y71" s="64"/>
      <c r="Z71" s="64"/>
    </row>
    <row r="72" outlineLevel="1">
      <c r="A72" s="72" t="s">
        <v>368</v>
      </c>
      <c r="B72" s="72" t="s">
        <v>369</v>
      </c>
      <c r="C72" s="72" t="s">
        <v>352</v>
      </c>
      <c r="D72" s="72" t="s">
        <v>370</v>
      </c>
      <c r="E72" s="72" t="s">
        <v>371</v>
      </c>
      <c r="F72" s="80"/>
      <c r="G72" s="74" t="s">
        <v>3</v>
      </c>
      <c r="H72" s="64"/>
      <c r="I72" s="64"/>
      <c r="J72" s="64"/>
      <c r="K72" s="64"/>
      <c r="L72" s="64"/>
      <c r="M72" s="64"/>
      <c r="N72" s="64"/>
      <c r="O72" s="64"/>
      <c r="P72" s="64"/>
      <c r="Q72" s="64"/>
      <c r="R72" s="64"/>
      <c r="S72" s="64"/>
      <c r="T72" s="64"/>
      <c r="U72" s="64"/>
      <c r="V72" s="64"/>
      <c r="W72" s="64"/>
      <c r="X72" s="64"/>
      <c r="Y72" s="64"/>
      <c r="Z72" s="64"/>
    </row>
    <row r="73" outlineLevel="1">
      <c r="A73" s="72" t="s">
        <v>372</v>
      </c>
      <c r="B73" s="72" t="s">
        <v>373</v>
      </c>
      <c r="C73" s="72" t="s">
        <v>357</v>
      </c>
      <c r="D73" s="72" t="s">
        <v>374</v>
      </c>
      <c r="E73" s="72" t="s">
        <v>375</v>
      </c>
      <c r="F73" s="80"/>
      <c r="G73" s="74" t="s">
        <v>3</v>
      </c>
      <c r="H73" s="64"/>
      <c r="I73" s="64"/>
      <c r="J73" s="64"/>
      <c r="K73" s="64"/>
      <c r="L73" s="64"/>
      <c r="M73" s="64"/>
      <c r="N73" s="64"/>
      <c r="O73" s="64"/>
      <c r="P73" s="64"/>
      <c r="Q73" s="64"/>
      <c r="R73" s="64"/>
      <c r="S73" s="64"/>
      <c r="T73" s="64"/>
      <c r="U73" s="64"/>
      <c r="V73" s="64"/>
      <c r="W73" s="64"/>
      <c r="X73" s="64"/>
      <c r="Y73" s="64"/>
      <c r="Z73" s="64"/>
    </row>
    <row r="74" outlineLevel="1">
      <c r="A74" s="72" t="s">
        <v>376</v>
      </c>
      <c r="B74" s="72" t="s">
        <v>377</v>
      </c>
      <c r="C74" s="72" t="s">
        <v>378</v>
      </c>
      <c r="D74" s="72" t="s">
        <v>379</v>
      </c>
      <c r="E74" s="72" t="s">
        <v>380</v>
      </c>
      <c r="F74" s="80"/>
      <c r="G74" s="74" t="s">
        <v>3</v>
      </c>
      <c r="H74" s="64"/>
      <c r="I74" s="64"/>
      <c r="J74" s="64"/>
      <c r="K74" s="64"/>
      <c r="L74" s="64"/>
      <c r="M74" s="64"/>
      <c r="N74" s="64"/>
      <c r="O74" s="64"/>
      <c r="P74" s="64"/>
      <c r="Q74" s="64"/>
      <c r="R74" s="64"/>
      <c r="S74" s="64"/>
      <c r="T74" s="64"/>
      <c r="U74" s="64"/>
      <c r="V74" s="64"/>
      <c r="W74" s="64"/>
      <c r="X74" s="64"/>
      <c r="Y74" s="64"/>
      <c r="Z74" s="64"/>
    </row>
    <row r="75" outlineLevel="1">
      <c r="A75" s="72" t="s">
        <v>381</v>
      </c>
      <c r="B75" s="72" t="s">
        <v>382</v>
      </c>
      <c r="C75" s="72" t="s">
        <v>378</v>
      </c>
      <c r="D75" s="72" t="s">
        <v>383</v>
      </c>
      <c r="E75" s="72" t="s">
        <v>384</v>
      </c>
      <c r="F75" s="80"/>
      <c r="G75" s="74" t="s">
        <v>3</v>
      </c>
      <c r="H75" s="64"/>
      <c r="I75" s="64"/>
      <c r="J75" s="64"/>
      <c r="K75" s="64"/>
      <c r="L75" s="64"/>
      <c r="M75" s="64"/>
      <c r="N75" s="64"/>
      <c r="O75" s="64"/>
      <c r="P75" s="64"/>
      <c r="Q75" s="64"/>
      <c r="R75" s="64"/>
      <c r="S75" s="64"/>
      <c r="T75" s="64"/>
      <c r="U75" s="64"/>
      <c r="V75" s="64"/>
      <c r="W75" s="64"/>
      <c r="X75" s="64"/>
      <c r="Y75" s="64"/>
      <c r="Z75" s="64"/>
    </row>
    <row r="76" outlineLevel="1">
      <c r="A76" s="72" t="s">
        <v>385</v>
      </c>
      <c r="B76" s="72" t="s">
        <v>386</v>
      </c>
      <c r="C76" s="72" t="s">
        <v>357</v>
      </c>
      <c r="D76" s="72" t="s">
        <v>387</v>
      </c>
      <c r="E76" s="72" t="s">
        <v>388</v>
      </c>
      <c r="F76" s="80"/>
      <c r="G76" s="74" t="s">
        <v>3</v>
      </c>
      <c r="H76" s="64"/>
      <c r="I76" s="64"/>
      <c r="J76" s="64"/>
      <c r="K76" s="64"/>
      <c r="L76" s="64"/>
      <c r="M76" s="64"/>
      <c r="N76" s="64"/>
      <c r="O76" s="64"/>
      <c r="P76" s="64"/>
      <c r="Q76" s="64"/>
      <c r="R76" s="64"/>
      <c r="S76" s="64"/>
      <c r="T76" s="64"/>
      <c r="U76" s="64"/>
      <c r="V76" s="64"/>
      <c r="W76" s="64"/>
      <c r="X76" s="64"/>
      <c r="Y76" s="64"/>
      <c r="Z76" s="64"/>
    </row>
    <row r="77" outlineLevel="1">
      <c r="A77" s="72" t="s">
        <v>389</v>
      </c>
      <c r="B77" s="72" t="s">
        <v>390</v>
      </c>
      <c r="C77" s="72" t="s">
        <v>391</v>
      </c>
      <c r="D77" s="72" t="s">
        <v>392</v>
      </c>
      <c r="E77" s="72" t="s">
        <v>393</v>
      </c>
      <c r="F77" s="80"/>
      <c r="G77" s="74" t="s">
        <v>3</v>
      </c>
      <c r="H77" s="64"/>
      <c r="I77" s="64"/>
      <c r="J77" s="64"/>
      <c r="K77" s="64"/>
      <c r="L77" s="64"/>
      <c r="M77" s="64"/>
      <c r="N77" s="64"/>
      <c r="O77" s="64"/>
      <c r="P77" s="64"/>
      <c r="Q77" s="64"/>
      <c r="R77" s="64"/>
      <c r="S77" s="64"/>
      <c r="T77" s="64"/>
      <c r="U77" s="64"/>
      <c r="V77" s="64"/>
      <c r="W77" s="64"/>
      <c r="X77" s="64"/>
      <c r="Y77" s="64"/>
      <c r="Z77" s="64"/>
    </row>
    <row r="78" outlineLevel="1">
      <c r="A78" s="72" t="s">
        <v>394</v>
      </c>
      <c r="B78" s="72" t="s">
        <v>395</v>
      </c>
      <c r="C78" s="72" t="s">
        <v>396</v>
      </c>
      <c r="D78" s="72" t="s">
        <v>397</v>
      </c>
      <c r="E78" s="72" t="s">
        <v>398</v>
      </c>
      <c r="F78" s="80"/>
      <c r="G78" s="74" t="s">
        <v>3</v>
      </c>
      <c r="H78" s="64"/>
      <c r="I78" s="64"/>
      <c r="J78" s="64"/>
      <c r="K78" s="64"/>
      <c r="L78" s="64"/>
      <c r="M78" s="64"/>
      <c r="N78" s="64"/>
      <c r="O78" s="64"/>
      <c r="P78" s="64"/>
      <c r="Q78" s="64"/>
      <c r="R78" s="64"/>
      <c r="S78" s="64"/>
      <c r="T78" s="64"/>
      <c r="U78" s="64"/>
      <c r="V78" s="64"/>
      <c r="W78" s="64"/>
      <c r="X78" s="64"/>
      <c r="Y78" s="64"/>
      <c r="Z78" s="64"/>
    </row>
    <row r="79" outlineLevel="1">
      <c r="A79" s="72" t="s">
        <v>399</v>
      </c>
      <c r="B79" s="72" t="s">
        <v>400</v>
      </c>
      <c r="C79" s="72" t="s">
        <v>357</v>
      </c>
      <c r="D79" s="72" t="s">
        <v>401</v>
      </c>
      <c r="E79" s="72" t="s">
        <v>402</v>
      </c>
      <c r="F79" s="80"/>
      <c r="G79" s="74" t="s">
        <v>3</v>
      </c>
      <c r="H79" s="64"/>
      <c r="I79" s="64"/>
      <c r="J79" s="64"/>
      <c r="K79" s="64"/>
      <c r="L79" s="64"/>
      <c r="M79" s="64"/>
      <c r="N79" s="64"/>
      <c r="O79" s="64"/>
      <c r="P79" s="64"/>
      <c r="Q79" s="64"/>
      <c r="R79" s="64"/>
      <c r="S79" s="64"/>
      <c r="T79" s="64"/>
      <c r="U79" s="64"/>
      <c r="V79" s="64"/>
      <c r="W79" s="64"/>
      <c r="X79" s="64"/>
      <c r="Y79" s="64"/>
      <c r="Z79" s="64"/>
    </row>
    <row r="80" outlineLevel="1">
      <c r="A80" s="72" t="s">
        <v>403</v>
      </c>
      <c r="B80" s="72" t="s">
        <v>404</v>
      </c>
      <c r="C80" s="72" t="s">
        <v>405</v>
      </c>
      <c r="D80" s="72" t="s">
        <v>406</v>
      </c>
      <c r="E80" s="72" t="s">
        <v>407</v>
      </c>
      <c r="F80" s="80"/>
      <c r="G80" s="74" t="s">
        <v>3</v>
      </c>
      <c r="H80" s="64"/>
      <c r="I80" s="64"/>
      <c r="J80" s="64"/>
      <c r="K80" s="64"/>
      <c r="L80" s="64"/>
      <c r="M80" s="64"/>
      <c r="N80" s="64"/>
      <c r="O80" s="64"/>
      <c r="P80" s="64"/>
      <c r="Q80" s="64"/>
      <c r="R80" s="64"/>
      <c r="S80" s="64"/>
      <c r="T80" s="64"/>
      <c r="U80" s="64"/>
      <c r="V80" s="64"/>
      <c r="W80" s="64"/>
      <c r="X80" s="64"/>
      <c r="Y80" s="64"/>
      <c r="Z80" s="64"/>
    </row>
    <row r="81" outlineLevel="1">
      <c r="A81" s="72" t="s">
        <v>408</v>
      </c>
      <c r="B81" s="72" t="s">
        <v>409</v>
      </c>
      <c r="C81" s="72" t="s">
        <v>405</v>
      </c>
      <c r="D81" s="72" t="s">
        <v>410</v>
      </c>
      <c r="E81" s="72" t="s">
        <v>411</v>
      </c>
      <c r="F81" s="80"/>
      <c r="G81" s="74" t="s">
        <v>3</v>
      </c>
      <c r="H81" s="64"/>
      <c r="I81" s="64"/>
      <c r="J81" s="64"/>
      <c r="K81" s="64"/>
      <c r="L81" s="64"/>
      <c r="M81" s="64"/>
      <c r="N81" s="64"/>
      <c r="O81" s="64"/>
      <c r="P81" s="64"/>
      <c r="Q81" s="64"/>
      <c r="R81" s="64"/>
      <c r="S81" s="64"/>
      <c r="T81" s="64"/>
      <c r="U81" s="64"/>
      <c r="V81" s="64"/>
      <c r="W81" s="64"/>
      <c r="X81" s="64"/>
      <c r="Y81" s="64"/>
      <c r="Z81" s="64"/>
    </row>
    <row r="82" outlineLevel="1">
      <c r="A82" s="72" t="s">
        <v>412</v>
      </c>
      <c r="B82" s="72" t="s">
        <v>413</v>
      </c>
      <c r="C82" s="72" t="s">
        <v>414</v>
      </c>
      <c r="D82" s="72" t="s">
        <v>415</v>
      </c>
      <c r="E82" s="72" t="s">
        <v>416</v>
      </c>
      <c r="F82" s="80"/>
      <c r="G82" s="74" t="s">
        <v>3</v>
      </c>
      <c r="H82" s="64"/>
      <c r="I82" s="64"/>
      <c r="J82" s="64"/>
      <c r="K82" s="64"/>
      <c r="L82" s="64"/>
      <c r="M82" s="64"/>
      <c r="N82" s="64"/>
      <c r="O82" s="64"/>
      <c r="P82" s="64"/>
      <c r="Q82" s="64"/>
      <c r="R82" s="64"/>
      <c r="S82" s="64"/>
      <c r="T82" s="64"/>
      <c r="U82" s="64"/>
      <c r="V82" s="64"/>
      <c r="W82" s="64"/>
      <c r="X82" s="64"/>
      <c r="Y82" s="64"/>
      <c r="Z82" s="64"/>
    </row>
    <row r="83" outlineLevel="1">
      <c r="A83" s="72" t="s">
        <v>417</v>
      </c>
      <c r="B83" s="72" t="s">
        <v>418</v>
      </c>
      <c r="C83" s="72" t="s">
        <v>419</v>
      </c>
      <c r="D83" s="72" t="s">
        <v>420</v>
      </c>
      <c r="E83" s="72" t="s">
        <v>421</v>
      </c>
      <c r="F83" s="80"/>
      <c r="G83" s="74" t="s">
        <v>3</v>
      </c>
      <c r="H83" s="64"/>
      <c r="I83" s="64"/>
      <c r="J83" s="64"/>
      <c r="K83" s="64"/>
      <c r="L83" s="64"/>
      <c r="M83" s="64"/>
      <c r="N83" s="64"/>
      <c r="O83" s="64"/>
      <c r="P83" s="64"/>
      <c r="Q83" s="64"/>
      <c r="R83" s="64"/>
      <c r="S83" s="64"/>
      <c r="T83" s="64"/>
      <c r="U83" s="64"/>
      <c r="V83" s="64"/>
      <c r="W83" s="64"/>
      <c r="X83" s="64"/>
      <c r="Y83" s="64"/>
      <c r="Z83" s="64"/>
    </row>
    <row r="84" outlineLevel="1">
      <c r="A84" s="72" t="s">
        <v>422</v>
      </c>
      <c r="B84" s="72" t="s">
        <v>423</v>
      </c>
      <c r="C84" s="72" t="s">
        <v>424</v>
      </c>
      <c r="D84" s="72" t="s">
        <v>425</v>
      </c>
      <c r="E84" s="72" t="s">
        <v>426</v>
      </c>
      <c r="F84" s="80"/>
      <c r="G84" s="74" t="s">
        <v>3</v>
      </c>
      <c r="H84" s="64"/>
      <c r="I84" s="64"/>
      <c r="J84" s="64"/>
      <c r="K84" s="64"/>
      <c r="L84" s="64"/>
      <c r="M84" s="64"/>
      <c r="N84" s="64"/>
      <c r="O84" s="64"/>
      <c r="P84" s="64"/>
      <c r="Q84" s="64"/>
      <c r="R84" s="64"/>
      <c r="S84" s="64"/>
      <c r="T84" s="64"/>
      <c r="U84" s="64"/>
      <c r="V84" s="64"/>
      <c r="W84" s="64"/>
      <c r="X84" s="64"/>
      <c r="Y84" s="64"/>
      <c r="Z84" s="64"/>
    </row>
    <row r="85" outlineLevel="1">
      <c r="A85" s="72" t="s">
        <v>427</v>
      </c>
      <c r="B85" s="72" t="s">
        <v>428</v>
      </c>
      <c r="C85" s="72" t="s">
        <v>357</v>
      </c>
      <c r="D85" s="72" t="s">
        <v>429</v>
      </c>
      <c r="E85" s="72" t="s">
        <v>430</v>
      </c>
      <c r="F85" s="80"/>
      <c r="G85" s="74" t="s">
        <v>3</v>
      </c>
      <c r="H85" s="64"/>
      <c r="I85" s="64"/>
      <c r="J85" s="64"/>
      <c r="K85" s="64"/>
      <c r="L85" s="64"/>
      <c r="M85" s="64"/>
      <c r="N85" s="64"/>
      <c r="O85" s="64"/>
      <c r="P85" s="64"/>
      <c r="Q85" s="64"/>
      <c r="R85" s="64"/>
      <c r="S85" s="64"/>
      <c r="T85" s="64"/>
      <c r="U85" s="64"/>
      <c r="V85" s="64"/>
      <c r="W85" s="64"/>
      <c r="X85" s="64"/>
      <c r="Y85" s="64"/>
      <c r="Z85" s="64"/>
    </row>
    <row r="86" collapsed="1">
      <c r="A86" s="66"/>
      <c r="B86" s="67" t="s">
        <v>431</v>
      </c>
      <c r="C86" s="66"/>
      <c r="D86" s="66"/>
      <c r="E86" s="66"/>
      <c r="F86" s="68"/>
      <c r="G86" s="68"/>
      <c r="H86" s="64"/>
      <c r="I86" s="64"/>
      <c r="J86" s="64"/>
      <c r="K86" s="64"/>
      <c r="L86" s="64"/>
      <c r="M86" s="64"/>
      <c r="N86" s="64"/>
      <c r="O86" s="64"/>
      <c r="P86" s="64"/>
      <c r="Q86" s="64"/>
      <c r="R86" s="64"/>
      <c r="S86" s="64"/>
      <c r="T86" s="64"/>
      <c r="U86" s="64"/>
      <c r="V86" s="64"/>
      <c r="W86" s="64"/>
      <c r="X86" s="64"/>
      <c r="Y86" s="64"/>
      <c r="Z86" s="64"/>
    </row>
    <row r="87" hidden="1" outlineLevel="1">
      <c r="A87" s="64"/>
      <c r="B87" s="82" t="s">
        <v>432</v>
      </c>
      <c r="C87" s="83"/>
      <c r="D87" s="83"/>
      <c r="E87" s="83"/>
      <c r="F87" s="80"/>
      <c r="G87" s="80"/>
      <c r="H87" s="64"/>
      <c r="I87" s="64"/>
      <c r="J87" s="64"/>
      <c r="K87" s="64"/>
      <c r="L87" s="64"/>
      <c r="M87" s="64"/>
      <c r="N87" s="64"/>
      <c r="O87" s="64"/>
      <c r="P87" s="64"/>
      <c r="Q87" s="64"/>
      <c r="R87" s="64"/>
      <c r="S87" s="64"/>
      <c r="T87" s="64"/>
      <c r="U87" s="64"/>
      <c r="V87" s="64"/>
      <c r="W87" s="64"/>
      <c r="X87" s="64"/>
      <c r="Y87" s="64"/>
      <c r="Z87" s="64"/>
    </row>
    <row r="88" hidden="1" outlineLevel="1">
      <c r="A88" s="75" t="s">
        <v>433</v>
      </c>
      <c r="B88" s="72" t="s">
        <v>434</v>
      </c>
      <c r="C88" s="72" t="s">
        <v>435</v>
      </c>
      <c r="D88" s="72" t="s">
        <v>436</v>
      </c>
      <c r="E88" s="72" t="s">
        <v>437</v>
      </c>
      <c r="F88" s="72" t="s">
        <v>437</v>
      </c>
      <c r="G88" s="74" t="s">
        <v>3</v>
      </c>
      <c r="H88" s="64"/>
      <c r="I88" s="64"/>
      <c r="J88" s="64"/>
      <c r="K88" s="64"/>
      <c r="L88" s="64"/>
      <c r="M88" s="64"/>
      <c r="N88" s="64"/>
      <c r="O88" s="64"/>
      <c r="P88" s="64"/>
      <c r="Q88" s="64"/>
      <c r="R88" s="64"/>
      <c r="S88" s="64"/>
      <c r="T88" s="64"/>
      <c r="U88" s="64"/>
      <c r="V88" s="64"/>
      <c r="W88" s="64"/>
      <c r="X88" s="64"/>
      <c r="Y88" s="64"/>
      <c r="Z88" s="64"/>
    </row>
    <row r="89" hidden="1" outlineLevel="1">
      <c r="A89" s="75" t="s">
        <v>438</v>
      </c>
      <c r="B89" s="72" t="s">
        <v>439</v>
      </c>
      <c r="C89" s="72" t="s">
        <v>96</v>
      </c>
      <c r="D89" s="72" t="s">
        <v>440</v>
      </c>
      <c r="E89" s="72" t="s">
        <v>441</v>
      </c>
      <c r="F89" s="81" t="s">
        <v>442</v>
      </c>
      <c r="G89" s="74" t="s">
        <v>3</v>
      </c>
      <c r="H89" s="64"/>
      <c r="I89" s="64"/>
      <c r="J89" s="64"/>
      <c r="K89" s="64"/>
      <c r="L89" s="64"/>
      <c r="M89" s="64"/>
      <c r="N89" s="64"/>
      <c r="O89" s="64"/>
      <c r="P89" s="64"/>
      <c r="Q89" s="64"/>
      <c r="R89" s="64"/>
      <c r="S89" s="64"/>
      <c r="T89" s="64"/>
      <c r="U89" s="64"/>
      <c r="V89" s="64"/>
      <c r="W89" s="64"/>
      <c r="X89" s="64"/>
      <c r="Y89" s="64"/>
      <c r="Z89" s="64"/>
    </row>
    <row r="90" hidden="1" outlineLevel="1">
      <c r="A90" s="75" t="s">
        <v>443</v>
      </c>
      <c r="B90" s="72" t="s">
        <v>444</v>
      </c>
      <c r="C90" s="72" t="s">
        <v>445</v>
      </c>
      <c r="D90" s="72" t="s">
        <v>446</v>
      </c>
      <c r="E90" s="72" t="s">
        <v>447</v>
      </c>
      <c r="F90" s="81" t="s">
        <v>448</v>
      </c>
      <c r="G90" s="74" t="s">
        <v>3</v>
      </c>
      <c r="H90" s="64"/>
      <c r="I90" s="64"/>
      <c r="J90" s="64"/>
      <c r="K90" s="64"/>
      <c r="L90" s="64"/>
      <c r="M90" s="64"/>
      <c r="N90" s="64"/>
      <c r="O90" s="64"/>
      <c r="P90" s="64"/>
      <c r="Q90" s="64"/>
      <c r="R90" s="64"/>
      <c r="S90" s="64"/>
      <c r="T90" s="64"/>
      <c r="U90" s="64"/>
      <c r="V90" s="64"/>
      <c r="W90" s="64"/>
      <c r="X90" s="64"/>
      <c r="Y90" s="64"/>
      <c r="Z90" s="64"/>
    </row>
    <row r="91" hidden="1" outlineLevel="1">
      <c r="A91" s="75" t="s">
        <v>449</v>
      </c>
      <c r="B91" s="72" t="s">
        <v>450</v>
      </c>
      <c r="C91" s="72" t="s">
        <v>104</v>
      </c>
      <c r="D91" s="72" t="s">
        <v>451</v>
      </c>
      <c r="E91" s="72" t="s">
        <v>452</v>
      </c>
      <c r="F91" s="72" t="s">
        <v>452</v>
      </c>
      <c r="G91" s="74" t="s">
        <v>3</v>
      </c>
      <c r="H91" s="64"/>
      <c r="I91" s="64"/>
      <c r="J91" s="64"/>
      <c r="K91" s="64"/>
      <c r="L91" s="64"/>
      <c r="M91" s="64"/>
      <c r="N91" s="64"/>
      <c r="O91" s="64"/>
      <c r="P91" s="64"/>
      <c r="Q91" s="64"/>
      <c r="R91" s="64"/>
      <c r="S91" s="64"/>
      <c r="T91" s="64"/>
      <c r="U91" s="64"/>
      <c r="V91" s="64"/>
      <c r="W91" s="64"/>
      <c r="X91" s="64"/>
      <c r="Y91" s="64"/>
      <c r="Z91" s="64"/>
    </row>
    <row r="92" hidden="1" outlineLevel="1">
      <c r="A92" s="75" t="s">
        <v>453</v>
      </c>
      <c r="B92" s="72" t="s">
        <v>454</v>
      </c>
      <c r="C92" s="72" t="s">
        <v>104</v>
      </c>
      <c r="D92" s="72" t="s">
        <v>451</v>
      </c>
      <c r="E92" s="72" t="s">
        <v>106</v>
      </c>
      <c r="F92" s="81" t="s">
        <v>455</v>
      </c>
      <c r="G92" s="74" t="s">
        <v>3</v>
      </c>
      <c r="H92" s="64"/>
      <c r="I92" s="64"/>
      <c r="J92" s="64"/>
      <c r="K92" s="64"/>
      <c r="L92" s="64"/>
      <c r="M92" s="64"/>
      <c r="N92" s="64"/>
      <c r="O92" s="64"/>
      <c r="P92" s="64"/>
      <c r="Q92" s="64"/>
      <c r="R92" s="64"/>
      <c r="S92" s="64"/>
      <c r="T92" s="64"/>
      <c r="U92" s="64"/>
      <c r="V92" s="64"/>
      <c r="W92" s="64"/>
      <c r="X92" s="64"/>
      <c r="Y92" s="64"/>
      <c r="Z92" s="64"/>
    </row>
    <row r="93" hidden="1" outlineLevel="1">
      <c r="A93" s="75" t="s">
        <v>456</v>
      </c>
      <c r="B93" s="72" t="s">
        <v>109</v>
      </c>
      <c r="C93" s="72" t="s">
        <v>104</v>
      </c>
      <c r="D93" s="72" t="s">
        <v>110</v>
      </c>
      <c r="E93" s="72" t="s">
        <v>111</v>
      </c>
      <c r="F93" s="72" t="s">
        <v>111</v>
      </c>
      <c r="G93" s="74" t="s">
        <v>3</v>
      </c>
      <c r="H93" s="64"/>
      <c r="I93" s="64"/>
      <c r="J93" s="64"/>
      <c r="K93" s="64"/>
      <c r="L93" s="64"/>
      <c r="M93" s="64"/>
      <c r="N93" s="64"/>
      <c r="O93" s="64"/>
      <c r="P93" s="64"/>
      <c r="Q93" s="64"/>
      <c r="R93" s="64"/>
      <c r="S93" s="64"/>
      <c r="T93" s="64"/>
      <c r="U93" s="64"/>
      <c r="V93" s="64"/>
      <c r="W93" s="64"/>
      <c r="X93" s="64"/>
      <c r="Y93" s="64"/>
      <c r="Z93" s="64"/>
    </row>
    <row r="94" hidden="1" outlineLevel="1">
      <c r="A94" s="75" t="s">
        <v>457</v>
      </c>
      <c r="B94" s="72" t="s">
        <v>458</v>
      </c>
      <c r="C94" s="72" t="s">
        <v>113</v>
      </c>
      <c r="D94" s="72" t="s">
        <v>114</v>
      </c>
      <c r="E94" s="72" t="s">
        <v>115</v>
      </c>
      <c r="F94" s="72" t="s">
        <v>115</v>
      </c>
      <c r="G94" s="74" t="s">
        <v>3</v>
      </c>
      <c r="H94" s="64"/>
      <c r="I94" s="64"/>
      <c r="J94" s="64"/>
      <c r="K94" s="64"/>
      <c r="L94" s="64"/>
      <c r="M94" s="64"/>
      <c r="N94" s="64"/>
      <c r="O94" s="64"/>
      <c r="P94" s="64"/>
      <c r="Q94" s="64"/>
      <c r="R94" s="64"/>
      <c r="S94" s="64"/>
      <c r="T94" s="64"/>
      <c r="U94" s="64"/>
      <c r="V94" s="64"/>
      <c r="W94" s="64"/>
      <c r="X94" s="64"/>
      <c r="Y94" s="64"/>
      <c r="Z94" s="64"/>
    </row>
    <row r="95" hidden="1" outlineLevel="1">
      <c r="A95" s="75" t="s">
        <v>459</v>
      </c>
      <c r="B95" s="72" t="s">
        <v>460</v>
      </c>
      <c r="C95" s="72" t="s">
        <v>461</v>
      </c>
      <c r="D95" s="72" t="s">
        <v>118</v>
      </c>
      <c r="E95" s="72" t="s">
        <v>462</v>
      </c>
      <c r="F95" s="81" t="s">
        <v>463</v>
      </c>
      <c r="G95" s="74" t="s">
        <v>3</v>
      </c>
      <c r="H95" s="64"/>
      <c r="I95" s="64"/>
      <c r="J95" s="64"/>
      <c r="K95" s="64"/>
      <c r="L95" s="64"/>
      <c r="M95" s="64"/>
      <c r="N95" s="64"/>
      <c r="O95" s="64"/>
      <c r="P95" s="64"/>
      <c r="Q95" s="64"/>
      <c r="R95" s="64"/>
      <c r="S95" s="64"/>
      <c r="T95" s="64"/>
      <c r="U95" s="64"/>
      <c r="V95" s="64"/>
      <c r="W95" s="64"/>
      <c r="X95" s="64"/>
      <c r="Y95" s="64"/>
      <c r="Z95" s="64"/>
    </row>
    <row r="96" hidden="1" outlineLevel="1">
      <c r="A96" s="75" t="s">
        <v>464</v>
      </c>
      <c r="B96" s="72" t="s">
        <v>465</v>
      </c>
      <c r="C96" s="72" t="s">
        <v>461</v>
      </c>
      <c r="D96" s="72" t="s">
        <v>466</v>
      </c>
      <c r="E96" s="72" t="s">
        <v>467</v>
      </c>
      <c r="F96" s="64"/>
      <c r="G96" s="74" t="s">
        <v>3</v>
      </c>
      <c r="H96" s="64"/>
      <c r="I96" s="64"/>
      <c r="J96" s="64"/>
      <c r="K96" s="64"/>
      <c r="L96" s="64"/>
      <c r="M96" s="64"/>
      <c r="N96" s="64"/>
      <c r="O96" s="64"/>
      <c r="P96" s="64"/>
      <c r="Q96" s="64"/>
      <c r="R96" s="64"/>
      <c r="S96" s="64"/>
      <c r="T96" s="64"/>
      <c r="U96" s="64"/>
      <c r="V96" s="64"/>
      <c r="W96" s="64"/>
      <c r="X96" s="64"/>
      <c r="Y96" s="64"/>
      <c r="Z96" s="64"/>
    </row>
    <row r="97" hidden="1" outlineLevel="1">
      <c r="A97" s="75" t="s">
        <v>468</v>
      </c>
      <c r="B97" s="72" t="s">
        <v>469</v>
      </c>
      <c r="C97" s="72" t="s">
        <v>461</v>
      </c>
      <c r="D97" s="72" t="s">
        <v>470</v>
      </c>
      <c r="E97" s="72" t="s">
        <v>471</v>
      </c>
      <c r="F97" s="64"/>
      <c r="G97" s="74" t="s">
        <v>3</v>
      </c>
      <c r="H97" s="64"/>
      <c r="I97" s="64"/>
      <c r="J97" s="64"/>
      <c r="K97" s="64"/>
      <c r="L97" s="64"/>
      <c r="M97" s="64"/>
      <c r="N97" s="64"/>
      <c r="O97" s="64"/>
      <c r="P97" s="64"/>
      <c r="Q97" s="64"/>
      <c r="R97" s="64"/>
      <c r="S97" s="64"/>
      <c r="T97" s="64"/>
      <c r="U97" s="64"/>
      <c r="V97" s="64"/>
      <c r="W97" s="64"/>
      <c r="X97" s="64"/>
      <c r="Y97" s="64"/>
      <c r="Z97" s="64"/>
    </row>
    <row r="98" hidden="1" outlineLevel="1">
      <c r="A98" s="75" t="s">
        <v>472</v>
      </c>
      <c r="B98" s="72" t="s">
        <v>473</v>
      </c>
      <c r="C98" s="72" t="s">
        <v>461</v>
      </c>
      <c r="D98" s="72" t="s">
        <v>474</v>
      </c>
      <c r="E98" s="72" t="s">
        <v>475</v>
      </c>
      <c r="F98" s="64"/>
      <c r="G98" s="74" t="s">
        <v>3</v>
      </c>
      <c r="H98" s="64"/>
      <c r="I98" s="64"/>
      <c r="J98" s="64"/>
      <c r="K98" s="64"/>
      <c r="L98" s="64"/>
      <c r="M98" s="64"/>
      <c r="N98" s="64"/>
      <c r="O98" s="64"/>
      <c r="P98" s="64"/>
      <c r="Q98" s="64"/>
      <c r="R98" s="64"/>
      <c r="S98" s="64"/>
      <c r="T98" s="64"/>
      <c r="U98" s="64"/>
      <c r="V98" s="64"/>
      <c r="W98" s="64"/>
      <c r="X98" s="64"/>
      <c r="Y98" s="64"/>
      <c r="Z98" s="64"/>
    </row>
    <row r="99" hidden="1" outlineLevel="1">
      <c r="A99" s="75" t="s">
        <v>476</v>
      </c>
      <c r="B99" s="72" t="s">
        <v>477</v>
      </c>
      <c r="C99" s="72" t="s">
        <v>461</v>
      </c>
      <c r="D99" s="72" t="s">
        <v>478</v>
      </c>
      <c r="E99" s="72" t="s">
        <v>479</v>
      </c>
      <c r="F99" s="64"/>
      <c r="G99" s="74" t="s">
        <v>3</v>
      </c>
      <c r="H99" s="64"/>
      <c r="I99" s="64"/>
      <c r="J99" s="64"/>
      <c r="K99" s="64"/>
      <c r="L99" s="64"/>
      <c r="M99" s="64"/>
      <c r="N99" s="64"/>
      <c r="O99" s="64"/>
      <c r="P99" s="64"/>
      <c r="Q99" s="64"/>
      <c r="R99" s="64"/>
      <c r="S99" s="64"/>
      <c r="T99" s="64"/>
      <c r="U99" s="64"/>
      <c r="V99" s="64"/>
      <c r="W99" s="64"/>
      <c r="X99" s="64"/>
      <c r="Y99" s="64"/>
      <c r="Z99" s="64"/>
    </row>
    <row r="100" hidden="1" outlineLevel="1">
      <c r="A100" s="75" t="s">
        <v>480</v>
      </c>
      <c r="B100" s="72" t="s">
        <v>481</v>
      </c>
      <c r="C100" s="72" t="s">
        <v>461</v>
      </c>
      <c r="D100" s="72" t="s">
        <v>482</v>
      </c>
      <c r="E100" s="72" t="s">
        <v>483</v>
      </c>
      <c r="F100" s="64"/>
      <c r="G100" s="74" t="s">
        <v>3</v>
      </c>
      <c r="H100" s="64"/>
      <c r="I100" s="64"/>
      <c r="J100" s="64"/>
      <c r="K100" s="64"/>
      <c r="L100" s="64"/>
      <c r="M100" s="64"/>
      <c r="N100" s="64"/>
      <c r="O100" s="64"/>
      <c r="P100" s="64"/>
      <c r="Q100" s="64"/>
      <c r="R100" s="64"/>
      <c r="S100" s="64"/>
      <c r="T100" s="64"/>
      <c r="U100" s="64"/>
      <c r="V100" s="64"/>
      <c r="W100" s="64"/>
      <c r="X100" s="64"/>
      <c r="Y100" s="64"/>
      <c r="Z100" s="64"/>
    </row>
    <row r="101" hidden="1" outlineLevel="1">
      <c r="A101" s="75" t="s">
        <v>484</v>
      </c>
      <c r="B101" s="72" t="s">
        <v>485</v>
      </c>
      <c r="C101" s="72" t="s">
        <v>461</v>
      </c>
      <c r="D101" s="72" t="s">
        <v>486</v>
      </c>
      <c r="E101" s="72" t="s">
        <v>487</v>
      </c>
      <c r="F101" s="64"/>
      <c r="G101" s="74" t="s">
        <v>3</v>
      </c>
      <c r="H101" s="64"/>
      <c r="I101" s="64"/>
      <c r="J101" s="64"/>
      <c r="K101" s="64"/>
      <c r="L101" s="64"/>
      <c r="M101" s="64"/>
      <c r="N101" s="64"/>
      <c r="O101" s="64"/>
      <c r="P101" s="64"/>
      <c r="Q101" s="64"/>
      <c r="R101" s="64"/>
      <c r="S101" s="64"/>
      <c r="T101" s="64"/>
      <c r="U101" s="64"/>
      <c r="V101" s="64"/>
      <c r="W101" s="64"/>
      <c r="X101" s="64"/>
      <c r="Y101" s="64"/>
      <c r="Z101" s="64"/>
    </row>
    <row r="102" hidden="1" outlineLevel="1">
      <c r="A102" s="75" t="s">
        <v>488</v>
      </c>
      <c r="B102" s="72" t="s">
        <v>489</v>
      </c>
      <c r="C102" s="72" t="s">
        <v>461</v>
      </c>
      <c r="D102" s="72" t="s">
        <v>490</v>
      </c>
      <c r="E102" s="72" t="s">
        <v>491</v>
      </c>
      <c r="F102" s="72" t="s">
        <v>492</v>
      </c>
      <c r="G102" s="74" t="s">
        <v>3</v>
      </c>
      <c r="H102" s="64"/>
      <c r="I102" s="64"/>
      <c r="J102" s="64"/>
      <c r="K102" s="64"/>
      <c r="L102" s="64"/>
      <c r="M102" s="64"/>
      <c r="N102" s="64"/>
      <c r="O102" s="64"/>
      <c r="P102" s="64"/>
      <c r="Q102" s="64"/>
      <c r="R102" s="64"/>
      <c r="S102" s="64"/>
      <c r="T102" s="64"/>
      <c r="U102" s="64"/>
      <c r="V102" s="64"/>
      <c r="W102" s="64"/>
      <c r="X102" s="64"/>
      <c r="Y102" s="64"/>
      <c r="Z102" s="64"/>
    </row>
    <row r="103" hidden="1" outlineLevel="1">
      <c r="A103" s="75" t="s">
        <v>493</v>
      </c>
      <c r="B103" s="72" t="s">
        <v>494</v>
      </c>
      <c r="C103" s="72" t="s">
        <v>495</v>
      </c>
      <c r="D103" s="72" t="s">
        <v>496</v>
      </c>
      <c r="E103" s="72" t="s">
        <v>497</v>
      </c>
      <c r="F103" s="80"/>
      <c r="G103" s="74" t="s">
        <v>3</v>
      </c>
      <c r="H103" s="64"/>
      <c r="I103" s="64"/>
      <c r="J103" s="64"/>
      <c r="K103" s="64"/>
      <c r="L103" s="64"/>
      <c r="M103" s="64"/>
      <c r="N103" s="64"/>
      <c r="O103" s="64"/>
      <c r="P103" s="64"/>
      <c r="Q103" s="64"/>
      <c r="R103" s="64"/>
      <c r="S103" s="64"/>
      <c r="T103" s="64"/>
      <c r="U103" s="64"/>
      <c r="V103" s="64"/>
      <c r="W103" s="64"/>
      <c r="X103" s="64"/>
      <c r="Y103" s="64"/>
      <c r="Z103" s="64"/>
    </row>
    <row r="104" hidden="1" outlineLevel="1">
      <c r="A104" s="75" t="s">
        <v>498</v>
      </c>
      <c r="B104" s="72" t="s">
        <v>499</v>
      </c>
      <c r="C104" s="72" t="s">
        <v>500</v>
      </c>
      <c r="D104" s="72" t="s">
        <v>501</v>
      </c>
      <c r="E104" s="72" t="s">
        <v>502</v>
      </c>
      <c r="F104" s="80"/>
      <c r="G104" s="74" t="s">
        <v>3</v>
      </c>
      <c r="H104" s="64"/>
      <c r="I104" s="64"/>
      <c r="J104" s="64"/>
      <c r="K104" s="64"/>
      <c r="L104" s="64"/>
      <c r="M104" s="64"/>
      <c r="N104" s="64"/>
      <c r="O104" s="64"/>
      <c r="P104" s="64"/>
      <c r="Q104" s="64"/>
      <c r="R104" s="64"/>
      <c r="S104" s="64"/>
      <c r="T104" s="64"/>
      <c r="U104" s="64"/>
      <c r="V104" s="64"/>
      <c r="W104" s="64"/>
      <c r="X104" s="64"/>
      <c r="Y104" s="64"/>
      <c r="Z104" s="64"/>
    </row>
    <row r="105" hidden="1" outlineLevel="1">
      <c r="A105" s="75" t="s">
        <v>503</v>
      </c>
      <c r="B105" s="72" t="s">
        <v>504</v>
      </c>
      <c r="C105" s="72" t="s">
        <v>461</v>
      </c>
      <c r="D105" s="72" t="s">
        <v>505</v>
      </c>
      <c r="E105" s="72" t="s">
        <v>506</v>
      </c>
      <c r="F105" s="80"/>
      <c r="G105" s="74" t="s">
        <v>3</v>
      </c>
      <c r="H105" s="64"/>
      <c r="I105" s="64"/>
      <c r="J105" s="64"/>
      <c r="K105" s="64"/>
      <c r="L105" s="64"/>
      <c r="M105" s="64"/>
      <c r="N105" s="64"/>
      <c r="O105" s="64"/>
      <c r="P105" s="64"/>
      <c r="Q105" s="64"/>
      <c r="R105" s="64"/>
      <c r="S105" s="64"/>
      <c r="T105" s="64"/>
      <c r="U105" s="64"/>
      <c r="V105" s="64"/>
      <c r="W105" s="64"/>
      <c r="X105" s="64"/>
      <c r="Y105" s="64"/>
      <c r="Z105" s="64"/>
    </row>
    <row r="106" hidden="1" outlineLevel="1">
      <c r="A106" s="75" t="s">
        <v>507</v>
      </c>
      <c r="B106" s="72" t="s">
        <v>508</v>
      </c>
      <c r="C106" s="72" t="s">
        <v>461</v>
      </c>
      <c r="D106" s="72" t="s">
        <v>509</v>
      </c>
      <c r="E106" s="72" t="s">
        <v>137</v>
      </c>
      <c r="F106" s="80"/>
      <c r="G106" s="74" t="s">
        <v>3</v>
      </c>
      <c r="H106" s="64"/>
      <c r="I106" s="64"/>
      <c r="J106" s="64"/>
      <c r="K106" s="64"/>
      <c r="L106" s="64"/>
      <c r="M106" s="64"/>
      <c r="N106" s="64"/>
      <c r="O106" s="64"/>
      <c r="P106" s="64"/>
      <c r="Q106" s="64"/>
      <c r="R106" s="64"/>
      <c r="S106" s="64"/>
      <c r="T106" s="64"/>
      <c r="U106" s="64"/>
      <c r="V106" s="64"/>
      <c r="W106" s="64"/>
      <c r="X106" s="64"/>
      <c r="Y106" s="64"/>
      <c r="Z106" s="64"/>
    </row>
    <row r="107" hidden="1" outlineLevel="1">
      <c r="A107" s="75" t="s">
        <v>510</v>
      </c>
      <c r="B107" s="72" t="s">
        <v>511</v>
      </c>
      <c r="C107" s="72" t="s">
        <v>512</v>
      </c>
      <c r="D107" s="72" t="s">
        <v>513</v>
      </c>
      <c r="E107" s="72" t="s">
        <v>514</v>
      </c>
      <c r="F107" s="80"/>
      <c r="G107" s="74" t="s">
        <v>3</v>
      </c>
      <c r="H107" s="64"/>
      <c r="I107" s="64"/>
      <c r="J107" s="64"/>
      <c r="K107" s="64"/>
      <c r="L107" s="64"/>
      <c r="M107" s="64"/>
      <c r="N107" s="64"/>
      <c r="O107" s="64"/>
      <c r="P107" s="64"/>
      <c r="Q107" s="64"/>
      <c r="R107" s="64"/>
      <c r="S107" s="64"/>
      <c r="T107" s="64"/>
      <c r="U107" s="64"/>
      <c r="V107" s="64"/>
      <c r="W107" s="64"/>
      <c r="X107" s="64"/>
      <c r="Y107" s="64"/>
      <c r="Z107" s="64"/>
    </row>
    <row r="108" hidden="1" outlineLevel="1">
      <c r="A108" s="75" t="s">
        <v>515</v>
      </c>
      <c r="B108" s="72" t="s">
        <v>516</v>
      </c>
      <c r="C108" s="72" t="s">
        <v>517</v>
      </c>
      <c r="D108" s="72" t="s">
        <v>518</v>
      </c>
      <c r="E108" s="72" t="s">
        <v>502</v>
      </c>
      <c r="F108" s="80"/>
      <c r="G108" s="74" t="s">
        <v>3</v>
      </c>
      <c r="H108" s="64"/>
      <c r="I108" s="64"/>
      <c r="J108" s="64"/>
      <c r="K108" s="64"/>
      <c r="L108" s="64"/>
      <c r="M108" s="64"/>
      <c r="N108" s="64"/>
      <c r="O108" s="64"/>
      <c r="P108" s="64"/>
      <c r="Q108" s="64"/>
      <c r="R108" s="64"/>
      <c r="S108" s="64"/>
      <c r="T108" s="64"/>
      <c r="U108" s="64"/>
      <c r="V108" s="64"/>
      <c r="W108" s="64"/>
      <c r="X108" s="64"/>
      <c r="Y108" s="64"/>
      <c r="Z108" s="64"/>
    </row>
    <row r="109" hidden="1" outlineLevel="1">
      <c r="A109" s="75" t="s">
        <v>519</v>
      </c>
      <c r="B109" s="72" t="s">
        <v>520</v>
      </c>
      <c r="C109" s="72" t="s">
        <v>461</v>
      </c>
      <c r="D109" s="72" t="s">
        <v>521</v>
      </c>
      <c r="E109" s="72" t="s">
        <v>506</v>
      </c>
      <c r="F109" s="80"/>
      <c r="G109" s="74" t="s">
        <v>3</v>
      </c>
      <c r="H109" s="64"/>
      <c r="I109" s="64"/>
      <c r="J109" s="64"/>
      <c r="K109" s="64"/>
      <c r="L109" s="64"/>
      <c r="M109" s="64"/>
      <c r="N109" s="64"/>
      <c r="O109" s="64"/>
      <c r="P109" s="64"/>
      <c r="Q109" s="64"/>
      <c r="R109" s="64"/>
      <c r="S109" s="64"/>
      <c r="T109" s="64"/>
      <c r="U109" s="64"/>
      <c r="V109" s="64"/>
      <c r="W109" s="64"/>
      <c r="X109" s="64"/>
      <c r="Y109" s="64"/>
      <c r="Z109" s="64"/>
    </row>
    <row r="110" hidden="1" outlineLevel="1">
      <c r="A110" s="75" t="s">
        <v>522</v>
      </c>
      <c r="B110" s="72" t="s">
        <v>523</v>
      </c>
      <c r="C110" s="72" t="s">
        <v>461</v>
      </c>
      <c r="D110" s="72" t="s">
        <v>524</v>
      </c>
      <c r="E110" s="72" t="s">
        <v>137</v>
      </c>
      <c r="F110" s="80"/>
      <c r="G110" s="74" t="s">
        <v>3</v>
      </c>
      <c r="H110" s="64"/>
      <c r="I110" s="64"/>
      <c r="J110" s="64"/>
      <c r="K110" s="64"/>
      <c r="L110" s="64"/>
      <c r="M110" s="64"/>
      <c r="N110" s="64"/>
      <c r="O110" s="64"/>
      <c r="P110" s="64"/>
      <c r="Q110" s="64"/>
      <c r="R110" s="64"/>
      <c r="S110" s="64"/>
      <c r="T110" s="64"/>
      <c r="U110" s="64"/>
      <c r="V110" s="64"/>
      <c r="W110" s="64"/>
      <c r="X110" s="64"/>
      <c r="Y110" s="64"/>
      <c r="Z110" s="64"/>
    </row>
    <row r="111" hidden="1" outlineLevel="1">
      <c r="A111" s="75" t="s">
        <v>525</v>
      </c>
      <c r="B111" s="72" t="s">
        <v>139</v>
      </c>
      <c r="C111" s="72" t="s">
        <v>461</v>
      </c>
      <c r="D111" s="72" t="s">
        <v>140</v>
      </c>
      <c r="E111" s="72" t="s">
        <v>526</v>
      </c>
      <c r="F111" s="80"/>
      <c r="G111" s="74" t="s">
        <v>3</v>
      </c>
      <c r="H111" s="64"/>
      <c r="I111" s="64"/>
      <c r="J111" s="64"/>
      <c r="K111" s="64"/>
      <c r="L111" s="64"/>
      <c r="M111" s="64"/>
      <c r="N111" s="64"/>
      <c r="O111" s="64"/>
      <c r="P111" s="64"/>
      <c r="Q111" s="64"/>
      <c r="R111" s="64"/>
      <c r="S111" s="64"/>
      <c r="T111" s="64"/>
      <c r="U111" s="64"/>
      <c r="V111" s="64"/>
      <c r="W111" s="64"/>
      <c r="X111" s="64"/>
      <c r="Y111" s="64"/>
      <c r="Z111" s="64"/>
    </row>
    <row r="112" hidden="1" outlineLevel="1">
      <c r="A112" s="75" t="s">
        <v>527</v>
      </c>
      <c r="B112" s="72" t="s">
        <v>144</v>
      </c>
      <c r="C112" s="72" t="s">
        <v>461</v>
      </c>
      <c r="D112" s="72" t="s">
        <v>528</v>
      </c>
      <c r="E112" s="72" t="s">
        <v>146</v>
      </c>
      <c r="F112" s="80"/>
      <c r="G112" s="74" t="s">
        <v>3</v>
      </c>
      <c r="H112" s="64"/>
      <c r="I112" s="64"/>
      <c r="J112" s="64"/>
      <c r="K112" s="64"/>
      <c r="L112" s="64"/>
      <c r="M112" s="64"/>
      <c r="N112" s="64"/>
      <c r="O112" s="64"/>
      <c r="P112" s="64"/>
      <c r="Q112" s="64"/>
      <c r="R112" s="64"/>
      <c r="S112" s="64"/>
      <c r="T112" s="64"/>
      <c r="U112" s="64"/>
      <c r="V112" s="64"/>
      <c r="W112" s="64"/>
      <c r="X112" s="64"/>
      <c r="Y112" s="64"/>
      <c r="Z112" s="64"/>
    </row>
    <row r="113" hidden="1" outlineLevel="1">
      <c r="A113" s="75" t="s">
        <v>529</v>
      </c>
      <c r="B113" s="72" t="s">
        <v>530</v>
      </c>
      <c r="C113" s="72" t="s">
        <v>149</v>
      </c>
      <c r="D113" s="72" t="s">
        <v>150</v>
      </c>
      <c r="E113" s="72" t="s">
        <v>151</v>
      </c>
      <c r="F113" s="80"/>
      <c r="G113" s="74" t="s">
        <v>3</v>
      </c>
      <c r="H113" s="64"/>
      <c r="I113" s="64"/>
      <c r="J113" s="64"/>
      <c r="K113" s="64"/>
      <c r="L113" s="64"/>
      <c r="M113" s="64"/>
      <c r="N113" s="64"/>
      <c r="O113" s="64"/>
      <c r="P113" s="64"/>
      <c r="Q113" s="64"/>
      <c r="R113" s="64"/>
      <c r="S113" s="64"/>
      <c r="T113" s="64"/>
      <c r="U113" s="64"/>
      <c r="V113" s="64"/>
      <c r="W113" s="64"/>
      <c r="X113" s="64"/>
      <c r="Y113" s="64"/>
      <c r="Z113" s="64"/>
    </row>
    <row r="114" hidden="1" outlineLevel="1">
      <c r="A114" s="75" t="s">
        <v>531</v>
      </c>
      <c r="B114" s="72" t="s">
        <v>532</v>
      </c>
      <c r="C114" s="72" t="s">
        <v>154</v>
      </c>
      <c r="D114" s="72" t="s">
        <v>155</v>
      </c>
      <c r="E114" s="72" t="s">
        <v>156</v>
      </c>
      <c r="F114" s="80"/>
      <c r="G114" s="74" t="s">
        <v>3</v>
      </c>
      <c r="H114" s="64"/>
      <c r="I114" s="64"/>
      <c r="J114" s="64"/>
      <c r="K114" s="64"/>
      <c r="L114" s="64"/>
      <c r="M114" s="64"/>
      <c r="N114" s="64"/>
      <c r="O114" s="64"/>
      <c r="P114" s="64"/>
      <c r="Q114" s="64"/>
      <c r="R114" s="64"/>
      <c r="S114" s="64"/>
      <c r="T114" s="64"/>
      <c r="U114" s="64"/>
      <c r="V114" s="64"/>
      <c r="W114" s="64"/>
      <c r="X114" s="64"/>
      <c r="Y114" s="64"/>
      <c r="Z114" s="64"/>
    </row>
    <row r="115" hidden="1" outlineLevel="1">
      <c r="A115" s="75" t="s">
        <v>533</v>
      </c>
      <c r="B115" s="72" t="s">
        <v>158</v>
      </c>
      <c r="C115" s="72" t="s">
        <v>159</v>
      </c>
      <c r="D115" s="72" t="s">
        <v>160</v>
      </c>
      <c r="E115" s="72" t="s">
        <v>161</v>
      </c>
      <c r="F115" s="80"/>
      <c r="G115" s="74" t="s">
        <v>3</v>
      </c>
      <c r="H115" s="64"/>
      <c r="I115" s="64"/>
      <c r="J115" s="64"/>
      <c r="K115" s="64"/>
      <c r="L115" s="64"/>
      <c r="M115" s="64"/>
      <c r="N115" s="64"/>
      <c r="O115" s="64"/>
      <c r="P115" s="64"/>
      <c r="Q115" s="64"/>
      <c r="R115" s="64"/>
      <c r="S115" s="64"/>
      <c r="T115" s="64"/>
      <c r="U115" s="64"/>
      <c r="V115" s="64"/>
      <c r="W115" s="64"/>
      <c r="X115" s="64"/>
      <c r="Y115" s="64"/>
      <c r="Z115" s="64"/>
    </row>
    <row r="116" hidden="1" outlineLevel="1">
      <c r="A116" s="75" t="s">
        <v>534</v>
      </c>
      <c r="B116" s="72" t="s">
        <v>535</v>
      </c>
      <c r="C116" s="72" t="s">
        <v>536</v>
      </c>
      <c r="D116" s="72" t="s">
        <v>537</v>
      </c>
      <c r="E116" s="72" t="s">
        <v>538</v>
      </c>
      <c r="F116" s="80"/>
      <c r="G116" s="74" t="s">
        <v>3</v>
      </c>
      <c r="H116" s="64"/>
      <c r="I116" s="64"/>
      <c r="J116" s="64"/>
      <c r="K116" s="64"/>
      <c r="L116" s="64"/>
      <c r="M116" s="64"/>
      <c r="N116" s="64"/>
      <c r="O116" s="64"/>
      <c r="P116" s="64"/>
      <c r="Q116" s="64"/>
      <c r="R116" s="64"/>
      <c r="S116" s="64"/>
      <c r="T116" s="64"/>
      <c r="U116" s="64"/>
      <c r="V116" s="64"/>
      <c r="W116" s="64"/>
      <c r="X116" s="64"/>
      <c r="Y116" s="64"/>
      <c r="Z116" s="64"/>
    </row>
    <row r="117" hidden="1" outlineLevel="1">
      <c r="A117" s="75" t="s">
        <v>539</v>
      </c>
      <c r="B117" s="72" t="s">
        <v>540</v>
      </c>
      <c r="C117" s="72" t="s">
        <v>461</v>
      </c>
      <c r="D117" s="72" t="s">
        <v>541</v>
      </c>
      <c r="E117" s="72" t="s">
        <v>506</v>
      </c>
      <c r="F117" s="80"/>
      <c r="G117" s="74" t="s">
        <v>3</v>
      </c>
      <c r="H117" s="64"/>
      <c r="I117" s="64"/>
      <c r="J117" s="64"/>
      <c r="K117" s="64"/>
      <c r="L117" s="64"/>
      <c r="M117" s="64"/>
      <c r="N117" s="64"/>
      <c r="O117" s="64"/>
      <c r="P117" s="64"/>
      <c r="Q117" s="64"/>
      <c r="R117" s="64"/>
      <c r="S117" s="64"/>
      <c r="T117" s="64"/>
      <c r="U117" s="64"/>
      <c r="V117" s="64"/>
      <c r="W117" s="64"/>
      <c r="X117" s="64"/>
      <c r="Y117" s="64"/>
      <c r="Z117" s="64"/>
    </row>
    <row r="118" hidden="1" outlineLevel="1">
      <c r="A118" s="75" t="s">
        <v>542</v>
      </c>
      <c r="B118" s="72" t="s">
        <v>543</v>
      </c>
      <c r="C118" s="72" t="s">
        <v>461</v>
      </c>
      <c r="D118" s="72" t="s">
        <v>544</v>
      </c>
      <c r="E118" s="72" t="s">
        <v>137</v>
      </c>
      <c r="F118" s="80"/>
      <c r="G118" s="74" t="s">
        <v>3</v>
      </c>
      <c r="H118" s="64"/>
      <c r="I118" s="64"/>
      <c r="J118" s="64"/>
      <c r="K118" s="64"/>
      <c r="L118" s="64"/>
      <c r="M118" s="64"/>
      <c r="N118" s="64"/>
      <c r="O118" s="64"/>
      <c r="P118" s="64"/>
      <c r="Q118" s="64"/>
      <c r="R118" s="64"/>
      <c r="S118" s="64"/>
      <c r="T118" s="64"/>
      <c r="U118" s="64"/>
      <c r="V118" s="64"/>
      <c r="W118" s="64"/>
      <c r="X118" s="64"/>
      <c r="Y118" s="64"/>
      <c r="Z118" s="64"/>
    </row>
    <row r="119" hidden="1" outlineLevel="1">
      <c r="A119" s="75" t="s">
        <v>545</v>
      </c>
      <c r="B119" s="72" t="s">
        <v>546</v>
      </c>
      <c r="C119" s="72" t="s">
        <v>164</v>
      </c>
      <c r="D119" s="72" t="s">
        <v>547</v>
      </c>
      <c r="E119" s="72" t="s">
        <v>548</v>
      </c>
      <c r="F119" s="80"/>
      <c r="G119" s="74" t="s">
        <v>3</v>
      </c>
      <c r="H119" s="64"/>
      <c r="I119" s="64"/>
      <c r="J119" s="64"/>
      <c r="K119" s="64"/>
      <c r="L119" s="64"/>
      <c r="M119" s="64"/>
      <c r="N119" s="64"/>
      <c r="O119" s="64"/>
      <c r="P119" s="64"/>
      <c r="Q119" s="64"/>
      <c r="R119" s="64"/>
      <c r="S119" s="64"/>
      <c r="T119" s="64"/>
      <c r="U119" s="64"/>
      <c r="V119" s="64"/>
      <c r="W119" s="64"/>
      <c r="X119" s="64"/>
      <c r="Y119" s="64"/>
      <c r="Z119" s="64"/>
    </row>
    <row r="120" hidden="1" outlineLevel="1">
      <c r="A120" s="75" t="s">
        <v>549</v>
      </c>
      <c r="B120" s="72" t="s">
        <v>550</v>
      </c>
      <c r="C120" s="72" t="s">
        <v>164</v>
      </c>
      <c r="D120" s="72" t="s">
        <v>551</v>
      </c>
      <c r="E120" s="72" t="s">
        <v>552</v>
      </c>
      <c r="F120" s="80"/>
      <c r="G120" s="74" t="s">
        <v>3</v>
      </c>
      <c r="H120" s="64"/>
      <c r="I120" s="64"/>
      <c r="J120" s="64"/>
      <c r="K120" s="64"/>
      <c r="L120" s="64"/>
      <c r="M120" s="64"/>
      <c r="N120" s="64"/>
      <c r="O120" s="64"/>
      <c r="P120" s="64"/>
      <c r="Q120" s="64"/>
      <c r="R120" s="64"/>
      <c r="S120" s="64"/>
      <c r="T120" s="64"/>
      <c r="U120" s="64"/>
      <c r="V120" s="64"/>
      <c r="W120" s="64"/>
      <c r="X120" s="64"/>
      <c r="Y120" s="64"/>
      <c r="Z120" s="64"/>
    </row>
    <row r="121" hidden="1" outlineLevel="1">
      <c r="A121" s="75" t="s">
        <v>553</v>
      </c>
      <c r="B121" s="72" t="s">
        <v>554</v>
      </c>
      <c r="C121" s="72" t="s">
        <v>164</v>
      </c>
      <c r="D121" s="72" t="s">
        <v>555</v>
      </c>
      <c r="E121" s="72" t="s">
        <v>556</v>
      </c>
      <c r="F121" s="80"/>
      <c r="G121" s="74" t="s">
        <v>3</v>
      </c>
      <c r="H121" s="64"/>
      <c r="I121" s="64"/>
      <c r="J121" s="64"/>
      <c r="K121" s="64"/>
      <c r="L121" s="64"/>
      <c r="M121" s="64"/>
      <c r="N121" s="64"/>
      <c r="O121" s="64"/>
      <c r="P121" s="64"/>
      <c r="Q121" s="64"/>
      <c r="R121" s="64"/>
      <c r="S121" s="64"/>
      <c r="T121" s="64"/>
      <c r="U121" s="64"/>
      <c r="V121" s="64"/>
      <c r="W121" s="64"/>
      <c r="X121" s="64"/>
      <c r="Y121" s="64"/>
      <c r="Z121" s="64"/>
    </row>
    <row r="122" hidden="1" outlineLevel="1">
      <c r="A122" s="75" t="s">
        <v>557</v>
      </c>
      <c r="B122" s="72" t="s">
        <v>558</v>
      </c>
      <c r="C122" s="72" t="s">
        <v>164</v>
      </c>
      <c r="D122" s="72" t="s">
        <v>559</v>
      </c>
      <c r="E122" s="72" t="s">
        <v>560</v>
      </c>
      <c r="F122" s="80"/>
      <c r="G122" s="74" t="s">
        <v>3</v>
      </c>
      <c r="H122" s="64"/>
      <c r="I122" s="64"/>
      <c r="J122" s="64"/>
      <c r="K122" s="64"/>
      <c r="L122" s="64"/>
      <c r="M122" s="64"/>
      <c r="N122" s="64"/>
      <c r="O122" s="64"/>
      <c r="P122" s="64"/>
      <c r="Q122" s="64"/>
      <c r="R122" s="64"/>
      <c r="S122" s="64"/>
      <c r="T122" s="64"/>
      <c r="U122" s="64"/>
      <c r="V122" s="64"/>
      <c r="W122" s="64"/>
      <c r="X122" s="64"/>
      <c r="Y122" s="64"/>
      <c r="Z122" s="64"/>
    </row>
    <row r="123" hidden="1" outlineLevel="1">
      <c r="A123" s="75" t="s">
        <v>561</v>
      </c>
      <c r="B123" s="72" t="s">
        <v>562</v>
      </c>
      <c r="C123" s="72" t="s">
        <v>164</v>
      </c>
      <c r="D123" s="72" t="s">
        <v>563</v>
      </c>
      <c r="E123" s="72" t="s">
        <v>564</v>
      </c>
      <c r="F123" s="80"/>
      <c r="G123" s="74" t="s">
        <v>3</v>
      </c>
      <c r="H123" s="64"/>
      <c r="I123" s="64"/>
      <c r="J123" s="64"/>
      <c r="K123" s="64"/>
      <c r="L123" s="64"/>
      <c r="M123" s="64"/>
      <c r="N123" s="64"/>
      <c r="O123" s="64"/>
      <c r="P123" s="64"/>
      <c r="Q123" s="64"/>
      <c r="R123" s="64"/>
      <c r="S123" s="64"/>
      <c r="T123" s="64"/>
      <c r="U123" s="64"/>
      <c r="V123" s="64"/>
      <c r="W123" s="64"/>
      <c r="X123" s="64"/>
      <c r="Y123" s="64"/>
      <c r="Z123" s="64"/>
    </row>
    <row r="124" hidden="1" outlineLevel="1">
      <c r="A124" s="75" t="s">
        <v>565</v>
      </c>
      <c r="B124" s="72" t="s">
        <v>566</v>
      </c>
      <c r="C124" s="72" t="s">
        <v>164</v>
      </c>
      <c r="D124" s="72" t="s">
        <v>567</v>
      </c>
      <c r="E124" s="72" t="s">
        <v>568</v>
      </c>
      <c r="F124" s="80"/>
      <c r="G124" s="74" t="s">
        <v>3</v>
      </c>
      <c r="H124" s="64"/>
      <c r="I124" s="64"/>
      <c r="J124" s="64"/>
      <c r="K124" s="64"/>
      <c r="L124" s="64"/>
      <c r="M124" s="64"/>
      <c r="N124" s="64"/>
      <c r="O124" s="64"/>
      <c r="P124" s="64"/>
      <c r="Q124" s="64"/>
      <c r="R124" s="64"/>
      <c r="S124" s="64"/>
      <c r="T124" s="64"/>
      <c r="U124" s="64"/>
      <c r="V124" s="64"/>
      <c r="W124" s="64"/>
      <c r="X124" s="64"/>
      <c r="Y124" s="64"/>
      <c r="Z124" s="64"/>
    </row>
    <row r="125" hidden="1" outlineLevel="1">
      <c r="A125" s="75" t="s">
        <v>569</v>
      </c>
      <c r="B125" s="72" t="s">
        <v>570</v>
      </c>
      <c r="C125" s="72" t="s">
        <v>164</v>
      </c>
      <c r="D125" s="72" t="s">
        <v>571</v>
      </c>
      <c r="E125" s="72" t="s">
        <v>572</v>
      </c>
      <c r="F125" s="80"/>
      <c r="G125" s="74" t="s">
        <v>3</v>
      </c>
      <c r="H125" s="64"/>
      <c r="I125" s="64"/>
      <c r="J125" s="64"/>
      <c r="K125" s="64"/>
      <c r="L125" s="64"/>
      <c r="M125" s="64"/>
      <c r="N125" s="64"/>
      <c r="O125" s="64"/>
      <c r="P125" s="64"/>
      <c r="Q125" s="64"/>
      <c r="R125" s="64"/>
      <c r="S125" s="64"/>
      <c r="T125" s="64"/>
      <c r="U125" s="64"/>
      <c r="V125" s="64"/>
      <c r="W125" s="64"/>
      <c r="X125" s="64"/>
      <c r="Y125" s="64"/>
      <c r="Z125" s="64"/>
    </row>
    <row r="126" hidden="1" outlineLevel="1">
      <c r="A126" s="75" t="s">
        <v>573</v>
      </c>
      <c r="B126" s="72" t="s">
        <v>574</v>
      </c>
      <c r="C126" s="72" t="s">
        <v>164</v>
      </c>
      <c r="D126" s="72" t="s">
        <v>575</v>
      </c>
      <c r="E126" s="72" t="s">
        <v>576</v>
      </c>
      <c r="F126" s="80"/>
      <c r="G126" s="74" t="s">
        <v>3</v>
      </c>
      <c r="H126" s="64"/>
      <c r="I126" s="64"/>
      <c r="J126" s="64"/>
      <c r="K126" s="64"/>
      <c r="L126" s="64"/>
      <c r="M126" s="64"/>
      <c r="N126" s="64"/>
      <c r="O126" s="64"/>
      <c r="P126" s="64"/>
      <c r="Q126" s="64"/>
      <c r="R126" s="64"/>
      <c r="S126" s="64"/>
      <c r="T126" s="64"/>
      <c r="U126" s="64"/>
      <c r="V126" s="64"/>
      <c r="W126" s="64"/>
      <c r="X126" s="64"/>
      <c r="Y126" s="64"/>
      <c r="Z126" s="64"/>
    </row>
    <row r="127" hidden="1" outlineLevel="1">
      <c r="A127" s="75" t="s">
        <v>577</v>
      </c>
      <c r="B127" s="72" t="s">
        <v>578</v>
      </c>
      <c r="C127" s="72" t="s">
        <v>164</v>
      </c>
      <c r="D127" s="72" t="s">
        <v>579</v>
      </c>
      <c r="E127" s="72" t="s">
        <v>580</v>
      </c>
      <c r="F127" s="80"/>
      <c r="G127" s="74" t="s">
        <v>3</v>
      </c>
      <c r="H127" s="64"/>
      <c r="I127" s="64"/>
      <c r="J127" s="64"/>
      <c r="K127" s="64"/>
      <c r="L127" s="64"/>
      <c r="M127" s="64"/>
      <c r="N127" s="64"/>
      <c r="O127" s="64"/>
      <c r="P127" s="64"/>
      <c r="Q127" s="64"/>
      <c r="R127" s="64"/>
      <c r="S127" s="64"/>
      <c r="T127" s="64"/>
      <c r="U127" s="64"/>
      <c r="V127" s="64"/>
      <c r="W127" s="64"/>
      <c r="X127" s="64"/>
      <c r="Y127" s="64"/>
      <c r="Z127" s="64"/>
    </row>
    <row r="128" hidden="1" outlineLevel="1">
      <c r="A128" s="75" t="s">
        <v>581</v>
      </c>
      <c r="B128" s="84" t="s">
        <v>582</v>
      </c>
      <c r="C128" s="84" t="s">
        <v>583</v>
      </c>
      <c r="D128" s="72" t="s">
        <v>584</v>
      </c>
      <c r="E128" s="84" t="s">
        <v>585</v>
      </c>
      <c r="F128" s="81" t="s">
        <v>586</v>
      </c>
      <c r="G128" s="74" t="s">
        <v>3</v>
      </c>
      <c r="H128" s="64"/>
      <c r="I128" s="64"/>
      <c r="J128" s="64"/>
      <c r="K128" s="64"/>
      <c r="L128" s="64"/>
      <c r="M128" s="64"/>
      <c r="N128" s="64"/>
      <c r="O128" s="64"/>
      <c r="P128" s="64"/>
      <c r="Q128" s="64"/>
      <c r="R128" s="64"/>
      <c r="S128" s="64"/>
      <c r="T128" s="64"/>
      <c r="U128" s="64"/>
      <c r="V128" s="64"/>
      <c r="W128" s="64"/>
      <c r="X128" s="64"/>
      <c r="Y128" s="64"/>
      <c r="Z128" s="64"/>
    </row>
    <row r="129" hidden="1" outlineLevel="1">
      <c r="A129" s="75" t="s">
        <v>587</v>
      </c>
      <c r="B129" s="78" t="s">
        <v>588</v>
      </c>
      <c r="C129" s="72" t="s">
        <v>461</v>
      </c>
      <c r="D129" s="78" t="s">
        <v>589</v>
      </c>
      <c r="E129" s="78" t="s">
        <v>590</v>
      </c>
      <c r="F129" s="80"/>
      <c r="G129" s="74" t="s">
        <v>3</v>
      </c>
      <c r="H129" s="64"/>
      <c r="I129" s="64"/>
      <c r="J129" s="64"/>
      <c r="K129" s="64"/>
      <c r="L129" s="64"/>
      <c r="M129" s="64"/>
      <c r="N129" s="64"/>
      <c r="O129" s="64"/>
      <c r="P129" s="64"/>
      <c r="Q129" s="64"/>
      <c r="R129" s="64"/>
      <c r="S129" s="64"/>
      <c r="T129" s="64"/>
      <c r="U129" s="64"/>
      <c r="V129" s="64"/>
      <c r="W129" s="64"/>
      <c r="X129" s="64"/>
      <c r="Y129" s="64"/>
      <c r="Z129" s="64"/>
    </row>
    <row r="130" hidden="1" outlineLevel="1">
      <c r="A130" s="75" t="s">
        <v>591</v>
      </c>
      <c r="B130" s="78" t="s">
        <v>592</v>
      </c>
      <c r="C130" s="72" t="s">
        <v>461</v>
      </c>
      <c r="D130" s="78" t="s">
        <v>593</v>
      </c>
      <c r="E130" s="78" t="s">
        <v>594</v>
      </c>
      <c r="F130" s="80"/>
      <c r="G130" s="74" t="s">
        <v>3</v>
      </c>
      <c r="H130" s="64"/>
      <c r="I130" s="64"/>
      <c r="J130" s="64"/>
      <c r="K130" s="64"/>
      <c r="L130" s="64"/>
      <c r="M130" s="64"/>
      <c r="N130" s="64"/>
      <c r="O130" s="64"/>
      <c r="P130" s="64"/>
      <c r="Q130" s="64"/>
      <c r="R130" s="64"/>
      <c r="S130" s="64"/>
      <c r="T130" s="64"/>
      <c r="U130" s="64"/>
      <c r="V130" s="64"/>
      <c r="W130" s="64"/>
      <c r="X130" s="64"/>
      <c r="Y130" s="64"/>
      <c r="Z130" s="64"/>
    </row>
    <row r="131" hidden="1" outlineLevel="1">
      <c r="A131" s="75" t="s">
        <v>595</v>
      </c>
      <c r="B131" s="78" t="s">
        <v>596</v>
      </c>
      <c r="C131" s="72" t="s">
        <v>461</v>
      </c>
      <c r="D131" s="78" t="s">
        <v>597</v>
      </c>
      <c r="E131" s="78" t="s">
        <v>598</v>
      </c>
      <c r="F131" s="80"/>
      <c r="G131" s="74" t="s">
        <v>3</v>
      </c>
      <c r="H131" s="64"/>
      <c r="I131" s="64"/>
      <c r="J131" s="64"/>
      <c r="K131" s="64"/>
      <c r="L131" s="64"/>
      <c r="M131" s="64"/>
      <c r="N131" s="64"/>
      <c r="O131" s="64"/>
      <c r="P131" s="64"/>
      <c r="Q131" s="64"/>
      <c r="R131" s="64"/>
      <c r="S131" s="64"/>
      <c r="T131" s="64"/>
      <c r="U131" s="64"/>
      <c r="V131" s="64"/>
      <c r="W131" s="64"/>
      <c r="X131" s="64"/>
      <c r="Y131" s="64"/>
      <c r="Z131" s="64"/>
    </row>
    <row r="132" hidden="1" outlineLevel="1">
      <c r="A132" s="73"/>
      <c r="B132" s="85" t="s">
        <v>599</v>
      </c>
      <c r="C132" s="86"/>
      <c r="D132" s="86"/>
      <c r="E132" s="86"/>
      <c r="F132" s="86"/>
      <c r="G132" s="80"/>
      <c r="H132" s="64"/>
      <c r="I132" s="64"/>
      <c r="J132" s="64"/>
      <c r="K132" s="64"/>
      <c r="L132" s="64"/>
      <c r="M132" s="64"/>
      <c r="N132" s="64"/>
      <c r="O132" s="64"/>
      <c r="P132" s="64"/>
      <c r="Q132" s="64"/>
      <c r="R132" s="64"/>
      <c r="S132" s="64"/>
      <c r="T132" s="64"/>
      <c r="U132" s="64"/>
      <c r="V132" s="64"/>
      <c r="W132" s="64"/>
      <c r="X132" s="64"/>
      <c r="Y132" s="64"/>
      <c r="Z132" s="64"/>
    </row>
    <row r="133" hidden="1" outlineLevel="1">
      <c r="A133" s="75" t="s">
        <v>600</v>
      </c>
      <c r="B133" s="78" t="s">
        <v>601</v>
      </c>
      <c r="C133" s="72" t="s">
        <v>602</v>
      </c>
      <c r="D133" s="78" t="s">
        <v>603</v>
      </c>
      <c r="E133" s="78" t="s">
        <v>604</v>
      </c>
      <c r="F133" s="80"/>
      <c r="G133" s="74" t="s">
        <v>3</v>
      </c>
      <c r="H133" s="64"/>
      <c r="I133" s="64"/>
      <c r="J133" s="64"/>
      <c r="K133" s="64"/>
      <c r="L133" s="64"/>
      <c r="M133" s="64"/>
      <c r="N133" s="64"/>
      <c r="O133" s="64"/>
      <c r="P133" s="64"/>
      <c r="Q133" s="64"/>
      <c r="R133" s="64"/>
      <c r="S133" s="64"/>
      <c r="T133" s="64"/>
      <c r="U133" s="64"/>
      <c r="V133" s="64"/>
      <c r="W133" s="64"/>
      <c r="X133" s="64"/>
      <c r="Y133" s="64"/>
      <c r="Z133" s="64"/>
    </row>
    <row r="134" hidden="1" outlineLevel="1">
      <c r="A134" s="75" t="s">
        <v>605</v>
      </c>
      <c r="B134" s="78" t="s">
        <v>606</v>
      </c>
      <c r="C134" s="72" t="s">
        <v>602</v>
      </c>
      <c r="D134" s="78" t="s">
        <v>607</v>
      </c>
      <c r="E134" s="78" t="s">
        <v>608</v>
      </c>
      <c r="F134" s="80"/>
      <c r="G134" s="74" t="s">
        <v>3</v>
      </c>
      <c r="H134" s="64"/>
      <c r="I134" s="64"/>
      <c r="J134" s="64"/>
      <c r="K134" s="64"/>
      <c r="L134" s="64"/>
      <c r="M134" s="64"/>
      <c r="N134" s="64"/>
      <c r="O134" s="64"/>
      <c r="P134" s="64"/>
      <c r="Q134" s="64"/>
      <c r="R134" s="64"/>
      <c r="S134" s="64"/>
      <c r="T134" s="64"/>
      <c r="U134" s="64"/>
      <c r="V134" s="64"/>
      <c r="W134" s="64"/>
      <c r="X134" s="64"/>
      <c r="Y134" s="64"/>
      <c r="Z134" s="64"/>
    </row>
    <row r="135" hidden="1" outlineLevel="1">
      <c r="A135" s="75"/>
      <c r="B135" s="87" t="s">
        <v>609</v>
      </c>
      <c r="C135" s="88"/>
      <c r="D135" s="89"/>
      <c r="E135" s="89"/>
      <c r="F135" s="89"/>
      <c r="G135" s="80"/>
      <c r="H135" s="64"/>
      <c r="I135" s="64"/>
      <c r="J135" s="64"/>
      <c r="K135" s="64"/>
      <c r="L135" s="64"/>
      <c r="M135" s="64"/>
      <c r="N135" s="64"/>
      <c r="O135" s="64"/>
      <c r="P135" s="64"/>
      <c r="Q135" s="64"/>
      <c r="R135" s="64"/>
      <c r="S135" s="64"/>
      <c r="T135" s="64"/>
      <c r="U135" s="64"/>
      <c r="V135" s="64"/>
      <c r="W135" s="64"/>
      <c r="X135" s="64"/>
      <c r="Y135" s="64"/>
      <c r="Z135" s="64"/>
    </row>
    <row r="136" hidden="1" outlineLevel="1">
      <c r="A136" s="75" t="s">
        <v>610</v>
      </c>
      <c r="B136" s="78" t="s">
        <v>611</v>
      </c>
      <c r="C136" s="72" t="s">
        <v>602</v>
      </c>
      <c r="D136" s="78" t="s">
        <v>612</v>
      </c>
      <c r="E136" s="78" t="s">
        <v>613</v>
      </c>
      <c r="F136" s="80"/>
      <c r="G136" s="74" t="s">
        <v>3</v>
      </c>
      <c r="H136" s="64"/>
      <c r="I136" s="64"/>
      <c r="J136" s="64"/>
      <c r="K136" s="64"/>
      <c r="L136" s="64"/>
      <c r="M136" s="64"/>
      <c r="N136" s="64"/>
      <c r="O136" s="64"/>
      <c r="P136" s="64"/>
      <c r="Q136" s="64"/>
      <c r="R136" s="64"/>
      <c r="S136" s="64"/>
      <c r="T136" s="64"/>
      <c r="U136" s="64"/>
      <c r="V136" s="64"/>
      <c r="W136" s="64"/>
      <c r="X136" s="64"/>
      <c r="Y136" s="64"/>
      <c r="Z136" s="64"/>
    </row>
    <row r="137" hidden="1" outlineLevel="1">
      <c r="A137" s="75" t="s">
        <v>614</v>
      </c>
      <c r="B137" s="78" t="s">
        <v>615</v>
      </c>
      <c r="C137" s="72" t="s">
        <v>602</v>
      </c>
      <c r="D137" s="78" t="s">
        <v>616</v>
      </c>
      <c r="E137" s="78" t="s">
        <v>617</v>
      </c>
      <c r="F137" s="80"/>
      <c r="G137" s="74" t="s">
        <v>3</v>
      </c>
      <c r="H137" s="64"/>
      <c r="I137" s="64"/>
      <c r="J137" s="64"/>
      <c r="K137" s="64"/>
      <c r="L137" s="64"/>
      <c r="M137" s="64"/>
      <c r="N137" s="64"/>
      <c r="O137" s="64"/>
      <c r="P137" s="64"/>
      <c r="Q137" s="64"/>
      <c r="R137" s="64"/>
      <c r="S137" s="64"/>
      <c r="T137" s="64"/>
      <c r="U137" s="64"/>
      <c r="V137" s="64"/>
      <c r="W137" s="64"/>
      <c r="X137" s="64"/>
      <c r="Y137" s="64"/>
      <c r="Z137" s="64"/>
    </row>
    <row r="138" hidden="1" outlineLevel="1">
      <c r="A138" s="75" t="s">
        <v>618</v>
      </c>
      <c r="B138" s="78" t="s">
        <v>619</v>
      </c>
      <c r="C138" s="72" t="s">
        <v>602</v>
      </c>
      <c r="D138" s="78" t="s">
        <v>620</v>
      </c>
      <c r="E138" s="78" t="s">
        <v>621</v>
      </c>
      <c r="F138" s="81" t="s">
        <v>622</v>
      </c>
      <c r="G138" s="74" t="s">
        <v>3</v>
      </c>
      <c r="H138" s="64"/>
      <c r="I138" s="64"/>
      <c r="J138" s="64"/>
      <c r="K138" s="64"/>
      <c r="L138" s="64"/>
      <c r="M138" s="64"/>
      <c r="N138" s="64"/>
      <c r="O138" s="64"/>
      <c r="P138" s="64"/>
      <c r="Q138" s="64"/>
      <c r="R138" s="64"/>
      <c r="S138" s="64"/>
      <c r="T138" s="64"/>
      <c r="U138" s="64"/>
      <c r="V138" s="64"/>
      <c r="W138" s="64"/>
      <c r="X138" s="64"/>
      <c r="Y138" s="64"/>
      <c r="Z138" s="64"/>
    </row>
    <row r="139" hidden="1" outlineLevel="1">
      <c r="A139" s="75" t="s">
        <v>623</v>
      </c>
      <c r="B139" s="78" t="s">
        <v>624</v>
      </c>
      <c r="C139" s="72" t="s">
        <v>602</v>
      </c>
      <c r="D139" s="78" t="s">
        <v>625</v>
      </c>
      <c r="E139" s="78" t="s">
        <v>626</v>
      </c>
      <c r="F139" s="80"/>
      <c r="G139" s="74" t="s">
        <v>3</v>
      </c>
      <c r="H139" s="64"/>
      <c r="I139" s="64"/>
      <c r="J139" s="64"/>
      <c r="K139" s="64"/>
      <c r="L139" s="64"/>
      <c r="M139" s="64"/>
      <c r="N139" s="64"/>
      <c r="O139" s="64"/>
      <c r="P139" s="64"/>
      <c r="Q139" s="64"/>
      <c r="R139" s="64"/>
      <c r="S139" s="64"/>
      <c r="T139" s="64"/>
      <c r="U139" s="64"/>
      <c r="V139" s="64"/>
      <c r="W139" s="64"/>
      <c r="X139" s="64"/>
      <c r="Y139" s="64"/>
      <c r="Z139" s="64"/>
    </row>
    <row r="140" hidden="1" outlineLevel="1">
      <c r="A140" s="75" t="s">
        <v>627</v>
      </c>
      <c r="B140" s="78" t="s">
        <v>628</v>
      </c>
      <c r="C140" s="72" t="s">
        <v>629</v>
      </c>
      <c r="D140" s="78" t="s">
        <v>630</v>
      </c>
      <c r="E140" s="78" t="s">
        <v>631</v>
      </c>
      <c r="F140" s="81" t="s">
        <v>632</v>
      </c>
      <c r="G140" s="74" t="s">
        <v>3</v>
      </c>
      <c r="H140" s="64"/>
      <c r="I140" s="64"/>
      <c r="J140" s="64"/>
      <c r="K140" s="64"/>
      <c r="L140" s="64"/>
      <c r="M140" s="64"/>
      <c r="N140" s="64"/>
      <c r="O140" s="64"/>
      <c r="P140" s="64"/>
      <c r="Q140" s="64"/>
      <c r="R140" s="64"/>
      <c r="S140" s="64"/>
      <c r="T140" s="64"/>
      <c r="U140" s="64"/>
      <c r="V140" s="64"/>
      <c r="W140" s="64"/>
      <c r="X140" s="64"/>
      <c r="Y140" s="64"/>
      <c r="Z140" s="64"/>
    </row>
    <row r="141" hidden="1" outlineLevel="1">
      <c r="A141" s="75" t="s">
        <v>633</v>
      </c>
      <c r="B141" s="78" t="s">
        <v>634</v>
      </c>
      <c r="C141" s="72" t="s">
        <v>602</v>
      </c>
      <c r="D141" s="78" t="s">
        <v>635</v>
      </c>
      <c r="E141" s="78" t="s">
        <v>636</v>
      </c>
      <c r="F141" s="80"/>
      <c r="G141" s="74" t="s">
        <v>3</v>
      </c>
      <c r="H141" s="64"/>
      <c r="I141" s="64"/>
      <c r="J141" s="64"/>
      <c r="K141" s="64"/>
      <c r="L141" s="64"/>
      <c r="M141" s="64"/>
      <c r="N141" s="64"/>
      <c r="O141" s="64"/>
      <c r="P141" s="64"/>
      <c r="Q141" s="64"/>
      <c r="R141" s="64"/>
      <c r="S141" s="64"/>
      <c r="T141" s="64"/>
      <c r="U141" s="64"/>
      <c r="V141" s="64"/>
      <c r="W141" s="64"/>
      <c r="X141" s="64"/>
      <c r="Y141" s="64"/>
      <c r="Z141" s="64"/>
    </row>
    <row r="142" hidden="1" outlineLevel="1">
      <c r="A142" s="75" t="s">
        <v>637</v>
      </c>
      <c r="B142" s="78" t="s">
        <v>638</v>
      </c>
      <c r="C142" s="72" t="s">
        <v>602</v>
      </c>
      <c r="D142" s="78" t="s">
        <v>639</v>
      </c>
      <c r="E142" s="78" t="s">
        <v>640</v>
      </c>
      <c r="F142" s="81" t="s">
        <v>641</v>
      </c>
      <c r="G142" s="74" t="s">
        <v>3</v>
      </c>
      <c r="H142" s="64"/>
      <c r="I142" s="64"/>
      <c r="J142" s="64"/>
      <c r="K142" s="64"/>
      <c r="L142" s="64"/>
      <c r="M142" s="64"/>
      <c r="N142" s="64"/>
      <c r="O142" s="64"/>
      <c r="P142" s="64"/>
      <c r="Q142" s="64"/>
      <c r="R142" s="64"/>
      <c r="S142" s="64"/>
      <c r="T142" s="64"/>
      <c r="U142" s="64"/>
      <c r="V142" s="64"/>
      <c r="W142" s="64"/>
      <c r="X142" s="64"/>
      <c r="Y142" s="64"/>
      <c r="Z142" s="64"/>
    </row>
    <row r="143" hidden="1" outlineLevel="1">
      <c r="A143" s="75" t="s">
        <v>642</v>
      </c>
      <c r="B143" s="78" t="s">
        <v>643</v>
      </c>
      <c r="C143" s="72" t="s">
        <v>602</v>
      </c>
      <c r="D143" s="78" t="s">
        <v>644</v>
      </c>
      <c r="E143" s="78" t="s">
        <v>621</v>
      </c>
      <c r="F143" s="80"/>
      <c r="G143" s="74" t="s">
        <v>3</v>
      </c>
      <c r="H143" s="64"/>
      <c r="I143" s="64"/>
      <c r="J143" s="64"/>
      <c r="K143" s="64"/>
      <c r="L143" s="64"/>
      <c r="M143" s="64"/>
      <c r="N143" s="64"/>
      <c r="O143" s="64"/>
      <c r="P143" s="64"/>
      <c r="Q143" s="64"/>
      <c r="R143" s="64"/>
      <c r="S143" s="64"/>
      <c r="T143" s="64"/>
      <c r="U143" s="64"/>
      <c r="V143" s="64"/>
      <c r="W143" s="64"/>
      <c r="X143" s="64"/>
      <c r="Y143" s="64"/>
      <c r="Z143" s="64"/>
    </row>
    <row r="144" hidden="1" outlineLevel="1">
      <c r="A144" s="75" t="s">
        <v>645</v>
      </c>
      <c r="B144" s="78" t="s">
        <v>646</v>
      </c>
      <c r="C144" s="72" t="s">
        <v>602</v>
      </c>
      <c r="D144" s="78" t="s">
        <v>647</v>
      </c>
      <c r="E144" s="78" t="s">
        <v>648</v>
      </c>
      <c r="F144" s="80"/>
      <c r="G144" s="74" t="s">
        <v>3</v>
      </c>
      <c r="H144" s="64"/>
      <c r="I144" s="64"/>
      <c r="J144" s="64"/>
      <c r="K144" s="64"/>
      <c r="L144" s="64"/>
      <c r="M144" s="64"/>
      <c r="N144" s="64"/>
      <c r="O144" s="64"/>
      <c r="P144" s="64"/>
      <c r="Q144" s="64"/>
      <c r="R144" s="64"/>
      <c r="S144" s="64"/>
      <c r="T144" s="64"/>
      <c r="U144" s="64"/>
      <c r="V144" s="64"/>
      <c r="W144" s="64"/>
      <c r="X144" s="64"/>
      <c r="Y144" s="64"/>
      <c r="Z144" s="64"/>
    </row>
    <row r="145" hidden="1" outlineLevel="1">
      <c r="A145" s="75" t="s">
        <v>649</v>
      </c>
      <c r="B145" s="78" t="s">
        <v>650</v>
      </c>
      <c r="C145" s="72" t="s">
        <v>651</v>
      </c>
      <c r="D145" s="78" t="s">
        <v>652</v>
      </c>
      <c r="E145" s="78" t="s">
        <v>653</v>
      </c>
      <c r="F145" s="80"/>
      <c r="G145" s="74" t="s">
        <v>3</v>
      </c>
      <c r="H145" s="64"/>
      <c r="I145" s="64"/>
      <c r="J145" s="64"/>
      <c r="K145" s="64"/>
      <c r="L145" s="64"/>
      <c r="M145" s="64"/>
      <c r="N145" s="64"/>
      <c r="O145" s="64"/>
      <c r="P145" s="64"/>
      <c r="Q145" s="64"/>
      <c r="R145" s="64"/>
      <c r="S145" s="64"/>
      <c r="T145" s="64"/>
      <c r="U145" s="64"/>
      <c r="V145" s="64"/>
      <c r="W145" s="64"/>
      <c r="X145" s="64"/>
      <c r="Y145" s="64"/>
      <c r="Z145" s="64"/>
    </row>
    <row r="146" hidden="1" outlineLevel="1">
      <c r="A146" s="75" t="s">
        <v>654</v>
      </c>
      <c r="B146" s="78" t="s">
        <v>655</v>
      </c>
      <c r="C146" s="72" t="s">
        <v>602</v>
      </c>
      <c r="D146" s="78" t="s">
        <v>656</v>
      </c>
      <c r="E146" s="78" t="s">
        <v>636</v>
      </c>
      <c r="F146" s="81" t="s">
        <v>657</v>
      </c>
      <c r="G146" s="74" t="s">
        <v>3</v>
      </c>
      <c r="H146" s="64"/>
      <c r="I146" s="64"/>
      <c r="J146" s="64"/>
      <c r="K146" s="64"/>
      <c r="L146" s="64"/>
      <c r="M146" s="64"/>
      <c r="N146" s="64"/>
      <c r="O146" s="64"/>
      <c r="P146" s="64"/>
      <c r="Q146" s="64"/>
      <c r="R146" s="64"/>
      <c r="S146" s="64"/>
      <c r="T146" s="64"/>
      <c r="U146" s="64"/>
      <c r="V146" s="64"/>
      <c r="W146" s="64"/>
      <c r="X146" s="64"/>
      <c r="Y146" s="64"/>
      <c r="Z146" s="64"/>
    </row>
    <row r="147" hidden="1" outlineLevel="1">
      <c r="A147" s="75" t="s">
        <v>658</v>
      </c>
      <c r="B147" s="78" t="s">
        <v>659</v>
      </c>
      <c r="C147" s="72" t="s">
        <v>602</v>
      </c>
      <c r="D147" s="78" t="s">
        <v>660</v>
      </c>
      <c r="E147" s="78" t="s">
        <v>661</v>
      </c>
      <c r="F147" s="80"/>
      <c r="G147" s="74" t="s">
        <v>3</v>
      </c>
      <c r="H147" s="64"/>
      <c r="I147" s="64"/>
      <c r="J147" s="64"/>
      <c r="K147" s="64"/>
      <c r="L147" s="64"/>
      <c r="M147" s="64"/>
      <c r="N147" s="64"/>
      <c r="O147" s="64"/>
      <c r="P147" s="64"/>
      <c r="Q147" s="64"/>
      <c r="R147" s="64"/>
      <c r="S147" s="64"/>
      <c r="T147" s="64"/>
      <c r="U147" s="64"/>
      <c r="V147" s="64"/>
      <c r="W147" s="64"/>
      <c r="X147" s="64"/>
      <c r="Y147" s="64"/>
      <c r="Z147" s="64"/>
    </row>
    <row r="148" hidden="1" outlineLevel="1">
      <c r="A148" s="75" t="s">
        <v>662</v>
      </c>
      <c r="B148" s="78" t="s">
        <v>663</v>
      </c>
      <c r="C148" s="72" t="s">
        <v>602</v>
      </c>
      <c r="D148" s="78" t="s">
        <v>664</v>
      </c>
      <c r="E148" s="78" t="s">
        <v>621</v>
      </c>
      <c r="F148" s="81" t="s">
        <v>665</v>
      </c>
      <c r="G148" s="74" t="s">
        <v>3</v>
      </c>
      <c r="H148" s="64"/>
      <c r="I148" s="64"/>
      <c r="J148" s="64"/>
      <c r="K148" s="64"/>
      <c r="L148" s="64"/>
      <c r="M148" s="64"/>
      <c r="N148" s="64"/>
      <c r="O148" s="64"/>
      <c r="P148" s="64"/>
      <c r="Q148" s="64"/>
      <c r="R148" s="64"/>
      <c r="S148" s="64"/>
      <c r="T148" s="64"/>
      <c r="U148" s="64"/>
      <c r="V148" s="64"/>
      <c r="W148" s="64"/>
      <c r="X148" s="64"/>
      <c r="Y148" s="64"/>
      <c r="Z148" s="64"/>
    </row>
    <row r="149" hidden="1" outlineLevel="1">
      <c r="A149" s="75" t="s">
        <v>666</v>
      </c>
      <c r="B149" s="78" t="s">
        <v>667</v>
      </c>
      <c r="C149" s="72" t="s">
        <v>602</v>
      </c>
      <c r="D149" s="78" t="s">
        <v>668</v>
      </c>
      <c r="E149" s="78" t="s">
        <v>669</v>
      </c>
      <c r="F149" s="81" t="s">
        <v>670</v>
      </c>
      <c r="G149" s="74" t="s">
        <v>3</v>
      </c>
      <c r="H149" s="64"/>
      <c r="I149" s="64"/>
      <c r="J149" s="64"/>
      <c r="K149" s="64"/>
      <c r="L149" s="64"/>
      <c r="M149" s="64"/>
      <c r="N149" s="64"/>
      <c r="O149" s="64"/>
      <c r="P149" s="64"/>
      <c r="Q149" s="64"/>
      <c r="R149" s="64"/>
      <c r="S149" s="64"/>
      <c r="T149" s="64"/>
      <c r="U149" s="64"/>
      <c r="V149" s="64"/>
      <c r="W149" s="64"/>
      <c r="X149" s="64"/>
      <c r="Y149" s="64"/>
      <c r="Z149" s="64"/>
    </row>
    <row r="150" hidden="1" outlineLevel="1">
      <c r="A150" s="75" t="s">
        <v>671</v>
      </c>
      <c r="B150" s="78" t="s">
        <v>672</v>
      </c>
      <c r="C150" s="72" t="s">
        <v>673</v>
      </c>
      <c r="D150" s="78" t="s">
        <v>674</v>
      </c>
      <c r="E150" s="78" t="s">
        <v>675</v>
      </c>
      <c r="F150" s="80"/>
      <c r="G150" s="74" t="s">
        <v>3</v>
      </c>
      <c r="H150" s="64"/>
      <c r="I150" s="64"/>
      <c r="J150" s="64"/>
      <c r="K150" s="64"/>
      <c r="L150" s="64"/>
      <c r="M150" s="64"/>
      <c r="N150" s="64"/>
      <c r="O150" s="64"/>
      <c r="P150" s="64"/>
      <c r="Q150" s="64"/>
      <c r="R150" s="64"/>
      <c r="S150" s="64"/>
      <c r="T150" s="64"/>
      <c r="U150" s="64"/>
      <c r="V150" s="64"/>
      <c r="W150" s="64"/>
      <c r="X150" s="64"/>
      <c r="Y150" s="64"/>
      <c r="Z150" s="64"/>
    </row>
    <row r="151" hidden="1" outlineLevel="1">
      <c r="A151" s="75" t="s">
        <v>676</v>
      </c>
      <c r="B151" s="78" t="s">
        <v>677</v>
      </c>
      <c r="C151" s="72" t="s">
        <v>602</v>
      </c>
      <c r="D151" s="78" t="s">
        <v>678</v>
      </c>
      <c r="E151" s="78" t="s">
        <v>636</v>
      </c>
      <c r="F151" s="80"/>
      <c r="G151" s="74" t="s">
        <v>3</v>
      </c>
      <c r="H151" s="64"/>
      <c r="I151" s="64"/>
      <c r="J151" s="64"/>
      <c r="K151" s="64"/>
      <c r="L151" s="64"/>
      <c r="M151" s="64"/>
      <c r="N151" s="64"/>
      <c r="O151" s="64"/>
      <c r="P151" s="64"/>
      <c r="Q151" s="64"/>
      <c r="R151" s="64"/>
      <c r="S151" s="64"/>
      <c r="T151" s="64"/>
      <c r="U151" s="64"/>
      <c r="V151" s="64"/>
      <c r="W151" s="64"/>
      <c r="X151" s="64"/>
      <c r="Y151" s="64"/>
      <c r="Z151" s="64"/>
    </row>
    <row r="152" hidden="1" outlineLevel="1">
      <c r="A152" s="75" t="s">
        <v>679</v>
      </c>
      <c r="B152" s="78" t="s">
        <v>680</v>
      </c>
      <c r="C152" s="72" t="s">
        <v>602</v>
      </c>
      <c r="D152" s="78" t="s">
        <v>681</v>
      </c>
      <c r="E152" s="78" t="s">
        <v>682</v>
      </c>
      <c r="F152" s="81" t="s">
        <v>683</v>
      </c>
      <c r="G152" s="74" t="s">
        <v>3</v>
      </c>
      <c r="H152" s="64"/>
      <c r="I152" s="64"/>
      <c r="J152" s="64"/>
      <c r="K152" s="64"/>
      <c r="L152" s="64"/>
      <c r="M152" s="64"/>
      <c r="N152" s="64"/>
      <c r="O152" s="64"/>
      <c r="P152" s="64"/>
      <c r="Q152" s="64"/>
      <c r="R152" s="64"/>
      <c r="S152" s="64"/>
      <c r="T152" s="64"/>
      <c r="U152" s="64"/>
      <c r="V152" s="64"/>
      <c r="W152" s="64"/>
      <c r="X152" s="64"/>
      <c r="Y152" s="64"/>
      <c r="Z152" s="64"/>
    </row>
    <row r="153" hidden="1" outlineLevel="1">
      <c r="A153" s="75" t="s">
        <v>684</v>
      </c>
      <c r="B153" s="78" t="s">
        <v>685</v>
      </c>
      <c r="C153" s="72" t="s">
        <v>602</v>
      </c>
      <c r="D153" s="78" t="s">
        <v>686</v>
      </c>
      <c r="E153" s="78" t="s">
        <v>621</v>
      </c>
      <c r="F153" s="80"/>
      <c r="G153" s="74" t="s">
        <v>3</v>
      </c>
      <c r="H153" s="64"/>
      <c r="I153" s="64"/>
      <c r="J153" s="64"/>
      <c r="K153" s="64"/>
      <c r="L153" s="64"/>
      <c r="M153" s="64"/>
      <c r="N153" s="64"/>
      <c r="O153" s="64"/>
      <c r="P153" s="64"/>
      <c r="Q153" s="64"/>
      <c r="R153" s="64"/>
      <c r="S153" s="64"/>
      <c r="T153" s="64"/>
      <c r="U153" s="64"/>
      <c r="V153" s="64"/>
      <c r="W153" s="64"/>
      <c r="X153" s="64"/>
      <c r="Y153" s="64"/>
      <c r="Z153" s="64"/>
    </row>
    <row r="154" hidden="1" outlineLevel="1">
      <c r="A154" s="75" t="s">
        <v>687</v>
      </c>
      <c r="B154" s="78" t="s">
        <v>688</v>
      </c>
      <c r="C154" s="72" t="s">
        <v>602</v>
      </c>
      <c r="D154" s="78" t="s">
        <v>689</v>
      </c>
      <c r="E154" s="78" t="s">
        <v>690</v>
      </c>
      <c r="F154" s="81" t="s">
        <v>691</v>
      </c>
      <c r="G154" s="74" t="s">
        <v>3</v>
      </c>
      <c r="H154" s="64"/>
      <c r="I154" s="64"/>
      <c r="J154" s="64"/>
      <c r="K154" s="64"/>
      <c r="L154" s="64"/>
      <c r="M154" s="64"/>
      <c r="N154" s="64"/>
      <c r="O154" s="64"/>
      <c r="P154" s="64"/>
      <c r="Q154" s="64"/>
      <c r="R154" s="64"/>
      <c r="S154" s="64"/>
      <c r="T154" s="64"/>
      <c r="U154" s="64"/>
      <c r="V154" s="64"/>
      <c r="W154" s="64"/>
      <c r="X154" s="64"/>
      <c r="Y154" s="64"/>
      <c r="Z154" s="64"/>
    </row>
    <row r="155" hidden="1" outlineLevel="1">
      <c r="A155" s="75" t="s">
        <v>692</v>
      </c>
      <c r="B155" s="78" t="s">
        <v>693</v>
      </c>
      <c r="C155" s="72" t="s">
        <v>694</v>
      </c>
      <c r="D155" s="78" t="s">
        <v>695</v>
      </c>
      <c r="E155" s="78" t="s">
        <v>696</v>
      </c>
      <c r="F155" s="64"/>
      <c r="G155" s="74" t="s">
        <v>3</v>
      </c>
      <c r="H155" s="64"/>
      <c r="I155" s="64"/>
      <c r="J155" s="64"/>
      <c r="K155" s="64"/>
      <c r="L155" s="64"/>
      <c r="M155" s="64"/>
      <c r="N155" s="64"/>
      <c r="O155" s="64"/>
      <c r="P155" s="64"/>
      <c r="Q155" s="64"/>
      <c r="R155" s="64"/>
      <c r="S155" s="64"/>
      <c r="T155" s="64"/>
      <c r="U155" s="64"/>
      <c r="V155" s="64"/>
      <c r="W155" s="64"/>
      <c r="X155" s="64"/>
      <c r="Y155" s="64"/>
      <c r="Z155" s="64"/>
    </row>
    <row r="156" hidden="1" outlineLevel="1">
      <c r="A156" s="75" t="s">
        <v>697</v>
      </c>
      <c r="B156" s="78" t="s">
        <v>698</v>
      </c>
      <c r="C156" s="72" t="s">
        <v>602</v>
      </c>
      <c r="D156" s="78" t="s">
        <v>699</v>
      </c>
      <c r="E156" s="78" t="s">
        <v>636</v>
      </c>
      <c r="F156" s="64"/>
      <c r="G156" s="74" t="s">
        <v>3</v>
      </c>
      <c r="H156" s="64"/>
      <c r="I156" s="64"/>
      <c r="J156" s="64"/>
      <c r="K156" s="64"/>
      <c r="L156" s="64"/>
      <c r="M156" s="64"/>
      <c r="N156" s="64"/>
      <c r="O156" s="64"/>
      <c r="P156" s="64"/>
      <c r="Q156" s="64"/>
      <c r="R156" s="64"/>
      <c r="S156" s="64"/>
      <c r="T156" s="64"/>
      <c r="U156" s="64"/>
      <c r="V156" s="64"/>
      <c r="W156" s="64"/>
      <c r="X156" s="64"/>
      <c r="Y156" s="64"/>
      <c r="Z156" s="64"/>
    </row>
    <row r="157" hidden="1" outlineLevel="1">
      <c r="A157" s="75" t="s">
        <v>700</v>
      </c>
      <c r="B157" s="78" t="s">
        <v>701</v>
      </c>
      <c r="C157" s="72" t="s">
        <v>602</v>
      </c>
      <c r="D157" s="78" t="s">
        <v>702</v>
      </c>
      <c r="E157" s="78" t="s">
        <v>703</v>
      </c>
      <c r="F157" s="64"/>
      <c r="G157" s="74" t="s">
        <v>3</v>
      </c>
      <c r="H157" s="64"/>
      <c r="I157" s="64"/>
      <c r="J157" s="64"/>
      <c r="K157" s="64"/>
      <c r="L157" s="64"/>
      <c r="M157" s="64"/>
      <c r="N157" s="64"/>
      <c r="O157" s="64"/>
      <c r="P157" s="64"/>
      <c r="Q157" s="64"/>
      <c r="R157" s="64"/>
      <c r="S157" s="64"/>
      <c r="T157" s="64"/>
      <c r="U157" s="64"/>
      <c r="V157" s="64"/>
      <c r="W157" s="64"/>
      <c r="X157" s="64"/>
      <c r="Y157" s="64"/>
      <c r="Z157" s="64"/>
    </row>
    <row r="158" hidden="1" outlineLevel="1">
      <c r="A158" s="75" t="s">
        <v>704</v>
      </c>
      <c r="B158" s="78" t="s">
        <v>705</v>
      </c>
      <c r="C158" s="72" t="s">
        <v>602</v>
      </c>
      <c r="D158" s="78" t="s">
        <v>706</v>
      </c>
      <c r="E158" s="78" t="s">
        <v>621</v>
      </c>
      <c r="F158" s="64"/>
      <c r="G158" s="74" t="s">
        <v>3</v>
      </c>
      <c r="H158" s="64"/>
      <c r="I158" s="64"/>
      <c r="J158" s="64"/>
      <c r="K158" s="64"/>
      <c r="L158" s="64"/>
      <c r="M158" s="64"/>
      <c r="N158" s="64"/>
      <c r="O158" s="64"/>
      <c r="P158" s="64"/>
      <c r="Q158" s="64"/>
      <c r="R158" s="64"/>
      <c r="S158" s="64"/>
      <c r="T158" s="64"/>
      <c r="U158" s="64"/>
      <c r="V158" s="64"/>
      <c r="W158" s="64"/>
      <c r="X158" s="64"/>
      <c r="Y158" s="64"/>
      <c r="Z158" s="64"/>
    </row>
    <row r="159" hidden="1" outlineLevel="1">
      <c r="A159" s="75" t="s">
        <v>707</v>
      </c>
      <c r="B159" s="78" t="s">
        <v>708</v>
      </c>
      <c r="C159" s="72" t="s">
        <v>602</v>
      </c>
      <c r="D159" s="78" t="s">
        <v>709</v>
      </c>
      <c r="E159" s="78" t="s">
        <v>710</v>
      </c>
      <c r="F159" s="72" t="s">
        <v>691</v>
      </c>
      <c r="G159" s="74" t="s">
        <v>3</v>
      </c>
      <c r="H159" s="64"/>
      <c r="I159" s="64"/>
      <c r="J159" s="64"/>
      <c r="K159" s="64"/>
      <c r="L159" s="64"/>
      <c r="M159" s="64"/>
      <c r="N159" s="64"/>
      <c r="O159" s="64"/>
      <c r="P159" s="64"/>
      <c r="Q159" s="64"/>
      <c r="R159" s="64"/>
      <c r="S159" s="64"/>
      <c r="T159" s="64"/>
      <c r="U159" s="64"/>
      <c r="V159" s="64"/>
      <c r="W159" s="64"/>
      <c r="X159" s="64"/>
      <c r="Y159" s="64"/>
      <c r="Z159" s="64"/>
    </row>
    <row r="160" hidden="1" outlineLevel="1">
      <c r="A160" s="75" t="s">
        <v>711</v>
      </c>
      <c r="B160" s="78" t="s">
        <v>712</v>
      </c>
      <c r="C160" s="72" t="s">
        <v>713</v>
      </c>
      <c r="D160" s="78" t="s">
        <v>714</v>
      </c>
      <c r="E160" s="78" t="s">
        <v>715</v>
      </c>
      <c r="F160" s="72" t="s">
        <v>716</v>
      </c>
      <c r="G160" s="74" t="s">
        <v>3</v>
      </c>
      <c r="H160" s="64"/>
      <c r="I160" s="64"/>
      <c r="J160" s="64"/>
      <c r="K160" s="64"/>
      <c r="L160" s="64"/>
      <c r="M160" s="64"/>
      <c r="N160" s="64"/>
      <c r="O160" s="64"/>
      <c r="P160" s="64"/>
      <c r="Q160" s="64"/>
      <c r="R160" s="64"/>
      <c r="S160" s="64"/>
      <c r="T160" s="64"/>
      <c r="U160" s="64"/>
      <c r="V160" s="64"/>
      <c r="W160" s="64"/>
      <c r="X160" s="64"/>
      <c r="Y160" s="64"/>
      <c r="Z160" s="64"/>
    </row>
    <row r="161" hidden="1" outlineLevel="1">
      <c r="A161" s="75" t="s">
        <v>717</v>
      </c>
      <c r="B161" s="78" t="s">
        <v>718</v>
      </c>
      <c r="C161" s="72" t="s">
        <v>602</v>
      </c>
      <c r="D161" s="78" t="s">
        <v>719</v>
      </c>
      <c r="E161" s="78" t="s">
        <v>636</v>
      </c>
      <c r="F161" s="64"/>
      <c r="G161" s="74" t="s">
        <v>3</v>
      </c>
      <c r="H161" s="64"/>
      <c r="I161" s="64"/>
      <c r="J161" s="64"/>
      <c r="K161" s="64"/>
      <c r="L161" s="64"/>
      <c r="M161" s="64"/>
      <c r="N161" s="64"/>
      <c r="O161" s="64"/>
      <c r="P161" s="64"/>
      <c r="Q161" s="64"/>
      <c r="R161" s="64"/>
      <c r="S161" s="64"/>
      <c r="T161" s="64"/>
      <c r="U161" s="64"/>
      <c r="V161" s="64"/>
      <c r="W161" s="64"/>
      <c r="X161" s="64"/>
      <c r="Y161" s="64"/>
      <c r="Z161" s="64"/>
    </row>
    <row r="162" hidden="1" outlineLevel="1">
      <c r="A162" s="75" t="s">
        <v>720</v>
      </c>
      <c r="B162" s="78" t="s">
        <v>721</v>
      </c>
      <c r="C162" s="72" t="s">
        <v>602</v>
      </c>
      <c r="D162" s="78" t="s">
        <v>719</v>
      </c>
      <c r="E162" s="78" t="s">
        <v>722</v>
      </c>
      <c r="F162" s="72" t="s">
        <v>723</v>
      </c>
      <c r="G162" s="74" t="s">
        <v>3</v>
      </c>
      <c r="H162" s="64"/>
      <c r="I162" s="64"/>
      <c r="J162" s="64"/>
      <c r="K162" s="64"/>
      <c r="L162" s="64"/>
      <c r="M162" s="64"/>
      <c r="N162" s="64"/>
      <c r="O162" s="64"/>
      <c r="P162" s="64"/>
      <c r="Q162" s="64"/>
      <c r="R162" s="64"/>
      <c r="S162" s="64"/>
      <c r="T162" s="64"/>
      <c r="U162" s="64"/>
      <c r="V162" s="64"/>
      <c r="W162" s="64"/>
      <c r="X162" s="64"/>
      <c r="Y162" s="64"/>
      <c r="Z162" s="64"/>
    </row>
    <row r="163" hidden="1" outlineLevel="1">
      <c r="A163" s="75" t="s">
        <v>724</v>
      </c>
      <c r="B163" s="78" t="s">
        <v>725</v>
      </c>
      <c r="C163" s="72" t="s">
        <v>602</v>
      </c>
      <c r="D163" s="78" t="s">
        <v>726</v>
      </c>
      <c r="E163" s="78" t="s">
        <v>727</v>
      </c>
      <c r="F163" s="64"/>
      <c r="G163" s="74" t="s">
        <v>3</v>
      </c>
      <c r="H163" s="64"/>
      <c r="I163" s="64"/>
      <c r="J163" s="64"/>
      <c r="K163" s="64"/>
      <c r="L163" s="64"/>
      <c r="M163" s="64"/>
      <c r="N163" s="64"/>
      <c r="O163" s="64"/>
      <c r="P163" s="64"/>
      <c r="Q163" s="64"/>
      <c r="R163" s="64"/>
      <c r="S163" s="64"/>
      <c r="T163" s="64"/>
      <c r="U163" s="64"/>
      <c r="V163" s="64"/>
      <c r="W163" s="64"/>
      <c r="X163" s="64"/>
      <c r="Y163" s="64"/>
      <c r="Z163" s="64"/>
    </row>
    <row r="164" hidden="1" outlineLevel="1">
      <c r="A164" s="75" t="s">
        <v>728</v>
      </c>
      <c r="B164" s="78" t="s">
        <v>729</v>
      </c>
      <c r="C164" s="72" t="s">
        <v>602</v>
      </c>
      <c r="D164" s="78" t="s">
        <v>730</v>
      </c>
      <c r="E164" s="78" t="s">
        <v>621</v>
      </c>
      <c r="F164" s="72" t="s">
        <v>731</v>
      </c>
      <c r="G164" s="74" t="s">
        <v>3</v>
      </c>
      <c r="H164" s="64"/>
      <c r="I164" s="64"/>
      <c r="J164" s="64"/>
      <c r="K164" s="64"/>
      <c r="L164" s="64"/>
      <c r="M164" s="64"/>
      <c r="N164" s="64"/>
      <c r="O164" s="64"/>
      <c r="P164" s="64"/>
      <c r="Q164" s="64"/>
      <c r="R164" s="64"/>
      <c r="S164" s="64"/>
      <c r="T164" s="64"/>
      <c r="U164" s="64"/>
      <c r="V164" s="64"/>
      <c r="W164" s="64"/>
      <c r="X164" s="64"/>
      <c r="Y164" s="64"/>
      <c r="Z164" s="64"/>
    </row>
    <row r="165" hidden="1" outlineLevel="1">
      <c r="A165" s="75" t="s">
        <v>732</v>
      </c>
      <c r="B165" s="78" t="s">
        <v>733</v>
      </c>
      <c r="C165" s="72" t="s">
        <v>602</v>
      </c>
      <c r="D165" s="78" t="s">
        <v>734</v>
      </c>
      <c r="E165" s="78" t="s">
        <v>735</v>
      </c>
      <c r="F165" s="72" t="s">
        <v>691</v>
      </c>
      <c r="G165" s="74" t="s">
        <v>3</v>
      </c>
      <c r="H165" s="64"/>
      <c r="I165" s="64"/>
      <c r="J165" s="64"/>
      <c r="K165" s="64"/>
      <c r="L165" s="64"/>
      <c r="M165" s="64"/>
      <c r="N165" s="64"/>
      <c r="O165" s="64"/>
      <c r="P165" s="64"/>
      <c r="Q165" s="64"/>
      <c r="R165" s="64"/>
      <c r="S165" s="64"/>
      <c r="T165" s="64"/>
      <c r="U165" s="64"/>
      <c r="V165" s="64"/>
      <c r="W165" s="64"/>
      <c r="X165" s="64"/>
      <c r="Y165" s="64"/>
      <c r="Z165" s="64"/>
    </row>
    <row r="166" hidden="1" outlineLevel="1">
      <c r="A166" s="75" t="s">
        <v>736</v>
      </c>
      <c r="B166" s="78" t="s">
        <v>737</v>
      </c>
      <c r="C166" s="72" t="s">
        <v>738</v>
      </c>
      <c r="D166" s="78" t="s">
        <v>739</v>
      </c>
      <c r="E166" s="78" t="s">
        <v>740</v>
      </c>
      <c r="F166" s="64"/>
      <c r="G166" s="74" t="s">
        <v>3</v>
      </c>
      <c r="H166" s="64"/>
      <c r="I166" s="64"/>
      <c r="J166" s="64"/>
      <c r="K166" s="64"/>
      <c r="L166" s="64"/>
      <c r="M166" s="64"/>
      <c r="N166" s="64"/>
      <c r="O166" s="64"/>
      <c r="P166" s="64"/>
      <c r="Q166" s="64"/>
      <c r="R166" s="64"/>
      <c r="S166" s="64"/>
      <c r="T166" s="64"/>
      <c r="U166" s="64"/>
      <c r="V166" s="64"/>
      <c r="W166" s="64"/>
      <c r="X166" s="64"/>
      <c r="Y166" s="64"/>
      <c r="Z166" s="64"/>
    </row>
    <row r="167" hidden="1" outlineLevel="1">
      <c r="A167" s="75" t="s">
        <v>741</v>
      </c>
      <c r="B167" s="78" t="s">
        <v>742</v>
      </c>
      <c r="C167" s="72" t="s">
        <v>602</v>
      </c>
      <c r="D167" s="78" t="s">
        <v>743</v>
      </c>
      <c r="E167" s="78" t="s">
        <v>636</v>
      </c>
      <c r="F167" s="64"/>
      <c r="G167" s="74" t="s">
        <v>3</v>
      </c>
      <c r="H167" s="64"/>
      <c r="I167" s="64"/>
      <c r="J167" s="64"/>
      <c r="K167" s="64"/>
      <c r="L167" s="64"/>
      <c r="M167" s="64"/>
      <c r="N167" s="64"/>
      <c r="O167" s="64"/>
      <c r="P167" s="64"/>
      <c r="Q167" s="64"/>
      <c r="R167" s="64"/>
      <c r="S167" s="64"/>
      <c r="T167" s="64"/>
      <c r="U167" s="64"/>
      <c r="V167" s="64"/>
      <c r="W167" s="64"/>
      <c r="X167" s="64"/>
      <c r="Y167" s="64"/>
      <c r="Z167" s="64"/>
    </row>
    <row r="168" hidden="1" outlineLevel="1">
      <c r="A168" s="75" t="s">
        <v>744</v>
      </c>
      <c r="B168" s="78" t="s">
        <v>745</v>
      </c>
      <c r="C168" s="72" t="s">
        <v>602</v>
      </c>
      <c r="D168" s="78" t="s">
        <v>746</v>
      </c>
      <c r="E168" s="78" t="s">
        <v>747</v>
      </c>
      <c r="F168" s="64"/>
      <c r="G168" s="74" t="s">
        <v>3</v>
      </c>
      <c r="H168" s="64"/>
      <c r="I168" s="64"/>
      <c r="J168" s="64"/>
      <c r="K168" s="64"/>
      <c r="L168" s="64"/>
      <c r="M168" s="64"/>
      <c r="N168" s="64"/>
      <c r="O168" s="64"/>
      <c r="P168" s="64"/>
      <c r="Q168" s="64"/>
      <c r="R168" s="64"/>
      <c r="S168" s="64"/>
      <c r="T168" s="64"/>
      <c r="U168" s="64"/>
      <c r="V168" s="64"/>
      <c r="W168" s="64"/>
      <c r="X168" s="64"/>
      <c r="Y168" s="64"/>
      <c r="Z168" s="64"/>
    </row>
    <row r="169" hidden="1" outlineLevel="1">
      <c r="A169" s="75" t="s">
        <v>748</v>
      </c>
      <c r="B169" s="78" t="s">
        <v>749</v>
      </c>
      <c r="C169" s="72" t="s">
        <v>602</v>
      </c>
      <c r="D169" s="78" t="s">
        <v>750</v>
      </c>
      <c r="E169" s="78" t="s">
        <v>621</v>
      </c>
      <c r="F169" s="72" t="s">
        <v>751</v>
      </c>
      <c r="G169" s="74" t="s">
        <v>3</v>
      </c>
      <c r="H169" s="64"/>
      <c r="I169" s="64"/>
      <c r="J169" s="64"/>
      <c r="K169" s="64"/>
      <c r="L169" s="64"/>
      <c r="M169" s="64"/>
      <c r="N169" s="64"/>
      <c r="O169" s="64"/>
      <c r="P169" s="64"/>
      <c r="Q169" s="64"/>
      <c r="R169" s="64"/>
      <c r="S169" s="64"/>
      <c r="T169" s="64"/>
      <c r="U169" s="64"/>
      <c r="V169" s="64"/>
      <c r="W169" s="64"/>
      <c r="X169" s="64"/>
      <c r="Y169" s="64"/>
      <c r="Z169" s="64"/>
    </row>
    <row r="170" hidden="1" outlineLevel="1">
      <c r="A170" s="75" t="s">
        <v>752</v>
      </c>
      <c r="B170" s="78" t="s">
        <v>753</v>
      </c>
      <c r="C170" s="72" t="s">
        <v>602</v>
      </c>
      <c r="D170" s="78" t="s">
        <v>754</v>
      </c>
      <c r="E170" s="78" t="s">
        <v>755</v>
      </c>
      <c r="F170" s="72" t="s">
        <v>691</v>
      </c>
      <c r="G170" s="74" t="s">
        <v>3</v>
      </c>
      <c r="H170" s="64"/>
      <c r="I170" s="64"/>
      <c r="J170" s="64"/>
      <c r="K170" s="64"/>
      <c r="L170" s="64"/>
      <c r="M170" s="64"/>
      <c r="N170" s="64"/>
      <c r="O170" s="64"/>
      <c r="P170" s="64"/>
      <c r="Q170" s="64"/>
      <c r="R170" s="64"/>
      <c r="S170" s="64"/>
      <c r="T170" s="64"/>
      <c r="U170" s="64"/>
      <c r="V170" s="64"/>
      <c r="W170" s="64"/>
      <c r="X170" s="64"/>
      <c r="Y170" s="64"/>
      <c r="Z170" s="64"/>
    </row>
    <row r="171" hidden="1" outlineLevel="1">
      <c r="A171" s="75" t="s">
        <v>756</v>
      </c>
      <c r="B171" s="78" t="s">
        <v>757</v>
      </c>
      <c r="C171" s="72" t="s">
        <v>758</v>
      </c>
      <c r="D171" s="78" t="s">
        <v>759</v>
      </c>
      <c r="E171" s="78" t="s">
        <v>760</v>
      </c>
      <c r="F171" s="64"/>
      <c r="G171" s="74" t="s">
        <v>3</v>
      </c>
      <c r="H171" s="64"/>
      <c r="I171" s="64"/>
      <c r="J171" s="64"/>
      <c r="K171" s="64"/>
      <c r="L171" s="64"/>
      <c r="M171" s="64"/>
      <c r="N171" s="64"/>
      <c r="O171" s="64"/>
      <c r="P171" s="64"/>
      <c r="Q171" s="64"/>
      <c r="R171" s="64"/>
      <c r="S171" s="64"/>
      <c r="T171" s="64"/>
      <c r="U171" s="64"/>
      <c r="V171" s="64"/>
      <c r="W171" s="64"/>
      <c r="X171" s="64"/>
      <c r="Y171" s="64"/>
      <c r="Z171" s="64"/>
    </row>
    <row r="172" hidden="1" outlineLevel="1">
      <c r="A172" s="75" t="s">
        <v>761</v>
      </c>
      <c r="B172" s="78" t="s">
        <v>762</v>
      </c>
      <c r="C172" s="72" t="s">
        <v>602</v>
      </c>
      <c r="D172" s="78" t="s">
        <v>763</v>
      </c>
      <c r="E172" s="78" t="s">
        <v>636</v>
      </c>
      <c r="F172" s="64"/>
      <c r="G172" s="74" t="s">
        <v>3</v>
      </c>
      <c r="H172" s="64"/>
      <c r="I172" s="64"/>
      <c r="J172" s="64"/>
      <c r="K172" s="64"/>
      <c r="L172" s="64"/>
      <c r="M172" s="64"/>
      <c r="N172" s="64"/>
      <c r="O172" s="64"/>
      <c r="P172" s="64"/>
      <c r="Q172" s="64"/>
      <c r="R172" s="64"/>
      <c r="S172" s="64"/>
      <c r="T172" s="64"/>
      <c r="U172" s="64"/>
      <c r="V172" s="64"/>
      <c r="W172" s="64"/>
      <c r="X172" s="64"/>
      <c r="Y172" s="64"/>
      <c r="Z172" s="64"/>
    </row>
    <row r="173" hidden="1" outlineLevel="1">
      <c r="A173" s="75" t="s">
        <v>764</v>
      </c>
      <c r="B173" s="78" t="s">
        <v>765</v>
      </c>
      <c r="C173" s="72" t="s">
        <v>766</v>
      </c>
      <c r="D173" s="78" t="s">
        <v>767</v>
      </c>
      <c r="E173" s="78" t="s">
        <v>768</v>
      </c>
      <c r="F173" s="64"/>
      <c r="G173" s="74" t="s">
        <v>3</v>
      </c>
      <c r="H173" s="64"/>
      <c r="I173" s="64"/>
      <c r="J173" s="64"/>
      <c r="K173" s="64"/>
      <c r="L173" s="64"/>
      <c r="M173" s="64"/>
      <c r="N173" s="64"/>
      <c r="O173" s="64"/>
      <c r="P173" s="64"/>
      <c r="Q173" s="64"/>
      <c r="R173" s="64"/>
      <c r="S173" s="64"/>
      <c r="T173" s="64"/>
      <c r="U173" s="64"/>
      <c r="V173" s="64"/>
      <c r="W173" s="64"/>
      <c r="X173" s="64"/>
      <c r="Y173" s="64"/>
      <c r="Z173" s="64"/>
    </row>
    <row r="174" hidden="1" outlineLevel="1">
      <c r="A174" s="75" t="s">
        <v>769</v>
      </c>
      <c r="B174" s="78" t="s">
        <v>770</v>
      </c>
      <c r="C174" s="72" t="s">
        <v>602</v>
      </c>
      <c r="D174" s="78" t="s">
        <v>771</v>
      </c>
      <c r="E174" s="78" t="s">
        <v>621</v>
      </c>
      <c r="F174" s="72" t="s">
        <v>772</v>
      </c>
      <c r="G174" s="74" t="s">
        <v>3</v>
      </c>
      <c r="H174" s="64"/>
      <c r="I174" s="64"/>
      <c r="J174" s="64"/>
      <c r="K174" s="64"/>
      <c r="L174" s="64"/>
      <c r="M174" s="64"/>
      <c r="N174" s="64"/>
      <c r="O174" s="64"/>
      <c r="P174" s="64"/>
      <c r="Q174" s="64"/>
      <c r="R174" s="64"/>
      <c r="S174" s="64"/>
      <c r="T174" s="64"/>
      <c r="U174" s="64"/>
      <c r="V174" s="64"/>
      <c r="W174" s="64"/>
      <c r="X174" s="64"/>
      <c r="Y174" s="64"/>
      <c r="Z174" s="64"/>
    </row>
    <row r="175" hidden="1" outlineLevel="1">
      <c r="A175" s="75" t="s">
        <v>773</v>
      </c>
      <c r="B175" s="78" t="s">
        <v>774</v>
      </c>
      <c r="C175" s="72" t="s">
        <v>602</v>
      </c>
      <c r="D175" s="78" t="s">
        <v>775</v>
      </c>
      <c r="E175" s="78" t="s">
        <v>776</v>
      </c>
      <c r="F175" s="72" t="s">
        <v>772</v>
      </c>
      <c r="G175" s="74" t="s">
        <v>3</v>
      </c>
      <c r="H175" s="64"/>
      <c r="I175" s="64"/>
      <c r="J175" s="64"/>
      <c r="K175" s="64"/>
      <c r="L175" s="64"/>
      <c r="M175" s="64"/>
      <c r="N175" s="64"/>
      <c r="O175" s="64"/>
      <c r="P175" s="64"/>
      <c r="Q175" s="64"/>
      <c r="R175" s="64"/>
      <c r="S175" s="64"/>
      <c r="T175" s="64"/>
      <c r="U175" s="64"/>
      <c r="V175" s="64"/>
      <c r="W175" s="64"/>
      <c r="X175" s="64"/>
      <c r="Y175" s="64"/>
      <c r="Z175" s="64"/>
    </row>
    <row r="176" hidden="1" outlineLevel="1">
      <c r="A176" s="75" t="s">
        <v>777</v>
      </c>
      <c r="B176" s="78" t="s">
        <v>778</v>
      </c>
      <c r="C176" s="72" t="s">
        <v>779</v>
      </c>
      <c r="D176" s="78" t="s">
        <v>780</v>
      </c>
      <c r="E176" s="78" t="s">
        <v>781</v>
      </c>
      <c r="F176" s="64"/>
      <c r="G176" s="74" t="s">
        <v>3</v>
      </c>
      <c r="H176" s="64"/>
      <c r="I176" s="64"/>
      <c r="J176" s="64"/>
      <c r="K176" s="64"/>
      <c r="L176" s="64"/>
      <c r="M176" s="64"/>
      <c r="N176" s="64"/>
      <c r="O176" s="64"/>
      <c r="P176" s="64"/>
      <c r="Q176" s="64"/>
      <c r="R176" s="64"/>
      <c r="S176" s="64"/>
      <c r="T176" s="64"/>
      <c r="U176" s="64"/>
      <c r="V176" s="64"/>
      <c r="W176" s="64"/>
      <c r="X176" s="64"/>
      <c r="Y176" s="64"/>
      <c r="Z176" s="64"/>
    </row>
    <row r="177" hidden="1" outlineLevel="1">
      <c r="A177" s="75" t="s">
        <v>782</v>
      </c>
      <c r="B177" s="78" t="s">
        <v>783</v>
      </c>
      <c r="C177" s="72" t="s">
        <v>602</v>
      </c>
      <c r="D177" s="78" t="s">
        <v>784</v>
      </c>
      <c r="E177" s="78" t="s">
        <v>657</v>
      </c>
      <c r="F177" s="78" t="s">
        <v>657</v>
      </c>
      <c r="G177" s="74" t="s">
        <v>3</v>
      </c>
      <c r="H177" s="64"/>
      <c r="I177" s="64"/>
      <c r="J177" s="64"/>
      <c r="K177" s="64"/>
      <c r="L177" s="64"/>
      <c r="M177" s="64"/>
      <c r="N177" s="64"/>
      <c r="O177" s="64"/>
      <c r="P177" s="64"/>
      <c r="Q177" s="64"/>
      <c r="R177" s="64"/>
      <c r="S177" s="64"/>
      <c r="T177" s="64"/>
      <c r="U177" s="64"/>
      <c r="V177" s="64"/>
      <c r="W177" s="64"/>
      <c r="X177" s="64"/>
      <c r="Y177" s="64"/>
      <c r="Z177" s="64"/>
    </row>
    <row r="178" hidden="1" outlineLevel="1">
      <c r="A178" s="75" t="s">
        <v>785</v>
      </c>
      <c r="B178" s="78" t="s">
        <v>786</v>
      </c>
      <c r="C178" s="72" t="s">
        <v>602</v>
      </c>
      <c r="D178" s="78" t="s">
        <v>787</v>
      </c>
      <c r="E178" s="78" t="s">
        <v>788</v>
      </c>
      <c r="F178" s="64"/>
      <c r="G178" s="74" t="s">
        <v>3</v>
      </c>
      <c r="H178" s="64"/>
      <c r="I178" s="64"/>
      <c r="J178" s="64"/>
      <c r="K178" s="64"/>
      <c r="L178" s="64"/>
      <c r="M178" s="64"/>
      <c r="N178" s="64"/>
      <c r="O178" s="64"/>
      <c r="P178" s="64"/>
      <c r="Q178" s="64"/>
      <c r="R178" s="64"/>
      <c r="S178" s="64"/>
      <c r="T178" s="64"/>
      <c r="U178" s="64"/>
      <c r="V178" s="64"/>
      <c r="W178" s="64"/>
      <c r="X178" s="64"/>
      <c r="Y178" s="64"/>
      <c r="Z178" s="64"/>
    </row>
    <row r="179" hidden="1" outlineLevel="1">
      <c r="A179" s="75" t="s">
        <v>789</v>
      </c>
      <c r="B179" s="78" t="s">
        <v>790</v>
      </c>
      <c r="C179" s="72" t="s">
        <v>766</v>
      </c>
      <c r="D179" s="78" t="s">
        <v>791</v>
      </c>
      <c r="E179" s="78" t="s">
        <v>792</v>
      </c>
      <c r="F179" s="64"/>
      <c r="G179" s="74" t="s">
        <v>3</v>
      </c>
      <c r="H179" s="64"/>
      <c r="I179" s="64"/>
      <c r="J179" s="64"/>
      <c r="K179" s="64"/>
      <c r="L179" s="64"/>
      <c r="M179" s="64"/>
      <c r="N179" s="64"/>
      <c r="O179" s="64"/>
      <c r="P179" s="64"/>
      <c r="Q179" s="64"/>
      <c r="R179" s="64"/>
      <c r="S179" s="64"/>
      <c r="T179" s="64"/>
      <c r="U179" s="64"/>
      <c r="V179" s="64"/>
      <c r="W179" s="64"/>
      <c r="X179" s="64"/>
      <c r="Y179" s="64"/>
      <c r="Z179" s="64"/>
    </row>
    <row r="180" hidden="1" outlineLevel="1">
      <c r="A180" s="75" t="s">
        <v>793</v>
      </c>
      <c r="B180" s="78" t="s">
        <v>794</v>
      </c>
      <c r="C180" s="72" t="s">
        <v>602</v>
      </c>
      <c r="D180" s="78" t="s">
        <v>795</v>
      </c>
      <c r="E180" s="78" t="s">
        <v>621</v>
      </c>
      <c r="F180" s="64"/>
      <c r="G180" s="74" t="s">
        <v>3</v>
      </c>
      <c r="H180" s="64"/>
      <c r="I180" s="64"/>
      <c r="J180" s="64"/>
      <c r="K180" s="64"/>
      <c r="L180" s="64"/>
      <c r="M180" s="64"/>
      <c r="N180" s="64"/>
      <c r="O180" s="64"/>
      <c r="P180" s="64"/>
      <c r="Q180" s="64"/>
      <c r="R180" s="64"/>
      <c r="S180" s="64"/>
      <c r="T180" s="64"/>
      <c r="U180" s="64"/>
      <c r="V180" s="64"/>
      <c r="W180" s="64"/>
      <c r="X180" s="64"/>
      <c r="Y180" s="64"/>
      <c r="Z180" s="64"/>
    </row>
    <row r="181" hidden="1" outlineLevel="1">
      <c r="A181" s="75" t="s">
        <v>796</v>
      </c>
      <c r="B181" s="78" t="s">
        <v>797</v>
      </c>
      <c r="C181" s="72" t="s">
        <v>602</v>
      </c>
      <c r="D181" s="78" t="s">
        <v>798</v>
      </c>
      <c r="E181" s="78" t="s">
        <v>799</v>
      </c>
      <c r="F181" s="72" t="s">
        <v>691</v>
      </c>
      <c r="G181" s="74" t="s">
        <v>3</v>
      </c>
      <c r="H181" s="64"/>
      <c r="I181" s="64"/>
      <c r="J181" s="64"/>
      <c r="K181" s="64"/>
      <c r="L181" s="64"/>
      <c r="M181" s="64"/>
      <c r="N181" s="64"/>
      <c r="O181" s="64"/>
      <c r="P181" s="64"/>
      <c r="Q181" s="64"/>
      <c r="R181" s="64"/>
      <c r="S181" s="64"/>
      <c r="T181" s="64"/>
      <c r="U181" s="64"/>
      <c r="V181" s="64"/>
      <c r="W181" s="64"/>
      <c r="X181" s="64"/>
      <c r="Y181" s="64"/>
      <c r="Z181" s="64"/>
    </row>
    <row r="182" hidden="1" outlineLevel="1">
      <c r="A182" s="75" t="s">
        <v>800</v>
      </c>
      <c r="B182" s="78" t="s">
        <v>801</v>
      </c>
      <c r="C182" s="72" t="s">
        <v>802</v>
      </c>
      <c r="D182" s="78" t="s">
        <v>803</v>
      </c>
      <c r="E182" s="78" t="s">
        <v>804</v>
      </c>
      <c r="F182" s="64"/>
      <c r="G182" s="74" t="s">
        <v>3</v>
      </c>
      <c r="H182" s="64"/>
      <c r="I182" s="64"/>
      <c r="J182" s="64"/>
      <c r="K182" s="64"/>
      <c r="L182" s="64"/>
      <c r="M182" s="64"/>
      <c r="N182" s="64"/>
      <c r="O182" s="64"/>
      <c r="P182" s="64"/>
      <c r="Q182" s="64"/>
      <c r="R182" s="64"/>
      <c r="S182" s="64"/>
      <c r="T182" s="64"/>
      <c r="U182" s="64"/>
      <c r="V182" s="64"/>
      <c r="W182" s="64"/>
      <c r="X182" s="64"/>
      <c r="Y182" s="64"/>
      <c r="Z182" s="64"/>
    </row>
    <row r="183" hidden="1" outlineLevel="1">
      <c r="A183" s="75" t="s">
        <v>805</v>
      </c>
      <c r="B183" s="78" t="s">
        <v>806</v>
      </c>
      <c r="C183" s="72" t="s">
        <v>602</v>
      </c>
      <c r="D183" s="78" t="s">
        <v>807</v>
      </c>
      <c r="E183" s="78" t="s">
        <v>636</v>
      </c>
      <c r="F183" s="64"/>
      <c r="G183" s="74" t="s">
        <v>3</v>
      </c>
      <c r="H183" s="64"/>
      <c r="I183" s="64"/>
      <c r="J183" s="64"/>
      <c r="K183" s="64"/>
      <c r="L183" s="64"/>
      <c r="M183" s="64"/>
      <c r="N183" s="64"/>
      <c r="O183" s="64"/>
      <c r="P183" s="64"/>
      <c r="Q183" s="64"/>
      <c r="R183" s="64"/>
      <c r="S183" s="64"/>
      <c r="T183" s="64"/>
      <c r="U183" s="64"/>
      <c r="V183" s="64"/>
      <c r="W183" s="64"/>
      <c r="X183" s="64"/>
      <c r="Y183" s="64"/>
      <c r="Z183" s="64"/>
    </row>
    <row r="184" hidden="1" outlineLevel="1">
      <c r="A184" s="75" t="s">
        <v>808</v>
      </c>
      <c r="B184" s="90" t="s">
        <v>809</v>
      </c>
      <c r="C184" s="72" t="s">
        <v>602</v>
      </c>
      <c r="D184" s="78" t="s">
        <v>810</v>
      </c>
      <c r="E184" s="78" t="s">
        <v>811</v>
      </c>
      <c r="F184" s="64"/>
      <c r="G184" s="74" t="s">
        <v>3</v>
      </c>
      <c r="H184" s="64"/>
      <c r="I184" s="64"/>
      <c r="J184" s="64"/>
      <c r="K184" s="64"/>
      <c r="L184" s="64"/>
      <c r="M184" s="64"/>
      <c r="N184" s="64"/>
      <c r="O184" s="64"/>
      <c r="P184" s="64"/>
      <c r="Q184" s="64"/>
      <c r="R184" s="64"/>
      <c r="S184" s="64"/>
      <c r="T184" s="64"/>
      <c r="U184" s="64"/>
      <c r="V184" s="64"/>
      <c r="W184" s="64"/>
      <c r="X184" s="64"/>
      <c r="Y184" s="64"/>
      <c r="Z184" s="64"/>
    </row>
    <row r="185" hidden="1" outlineLevel="1">
      <c r="A185" s="75" t="s">
        <v>812</v>
      </c>
      <c r="B185" s="90" t="s">
        <v>813</v>
      </c>
      <c r="C185" s="72" t="s">
        <v>602</v>
      </c>
      <c r="D185" s="78" t="s">
        <v>814</v>
      </c>
      <c r="E185" s="78" t="s">
        <v>815</v>
      </c>
      <c r="F185" s="64"/>
      <c r="G185" s="91" t="s">
        <v>3</v>
      </c>
      <c r="H185" s="64"/>
      <c r="I185" s="64"/>
      <c r="J185" s="64"/>
      <c r="K185" s="64"/>
      <c r="L185" s="64"/>
      <c r="M185" s="64"/>
      <c r="N185" s="64"/>
      <c r="O185" s="64"/>
      <c r="P185" s="64"/>
      <c r="Q185" s="64"/>
      <c r="R185" s="64"/>
      <c r="S185" s="64"/>
      <c r="T185" s="64"/>
      <c r="U185" s="64"/>
      <c r="V185" s="64"/>
      <c r="W185" s="64"/>
      <c r="X185" s="64"/>
      <c r="Y185" s="64"/>
      <c r="Z185" s="64"/>
    </row>
    <row r="186" hidden="1" outlineLevel="1">
      <c r="A186" s="75"/>
      <c r="B186" s="92" t="s">
        <v>816</v>
      </c>
      <c r="C186" s="88"/>
      <c r="D186" s="88"/>
      <c r="E186" s="88"/>
      <c r="F186" s="88"/>
      <c r="G186" s="64"/>
      <c r="H186" s="64"/>
      <c r="I186" s="64"/>
      <c r="J186" s="64"/>
      <c r="K186" s="64"/>
      <c r="L186" s="64"/>
      <c r="M186" s="64"/>
      <c r="N186" s="64"/>
      <c r="O186" s="64"/>
      <c r="P186" s="64"/>
      <c r="Q186" s="64"/>
      <c r="R186" s="64"/>
      <c r="S186" s="64"/>
      <c r="T186" s="64"/>
      <c r="U186" s="64"/>
      <c r="V186" s="64"/>
      <c r="W186" s="64"/>
      <c r="X186" s="64"/>
      <c r="Y186" s="64"/>
      <c r="Z186" s="64"/>
    </row>
    <row r="187" hidden="1" outlineLevel="1">
      <c r="A187" s="75" t="s">
        <v>817</v>
      </c>
      <c r="B187" s="78" t="s">
        <v>818</v>
      </c>
      <c r="C187" s="72" t="s">
        <v>602</v>
      </c>
      <c r="D187" s="78" t="s">
        <v>819</v>
      </c>
      <c r="E187" s="78" t="s">
        <v>820</v>
      </c>
      <c r="F187" s="72" t="s">
        <v>821</v>
      </c>
      <c r="G187" s="74" t="s">
        <v>3</v>
      </c>
      <c r="H187" s="64"/>
      <c r="I187" s="64"/>
      <c r="J187" s="64"/>
      <c r="K187" s="64"/>
      <c r="L187" s="64"/>
      <c r="M187" s="64"/>
      <c r="N187" s="64"/>
      <c r="O187" s="64"/>
      <c r="P187" s="64"/>
      <c r="Q187" s="64"/>
      <c r="R187" s="64"/>
      <c r="S187" s="64"/>
      <c r="T187" s="64"/>
      <c r="U187" s="64"/>
      <c r="V187" s="64"/>
      <c r="W187" s="64"/>
      <c r="X187" s="64"/>
      <c r="Y187" s="64"/>
      <c r="Z187" s="64"/>
    </row>
    <row r="188" hidden="1" outlineLevel="1">
      <c r="A188" s="75" t="s">
        <v>822</v>
      </c>
      <c r="B188" s="78" t="s">
        <v>823</v>
      </c>
      <c r="C188" s="72" t="s">
        <v>602</v>
      </c>
      <c r="D188" s="78" t="s">
        <v>824</v>
      </c>
      <c r="E188" s="78" t="s">
        <v>825</v>
      </c>
      <c r="F188" s="64"/>
      <c r="G188" s="74" t="s">
        <v>3</v>
      </c>
      <c r="H188" s="64"/>
      <c r="I188" s="64"/>
      <c r="J188" s="64"/>
      <c r="K188" s="64"/>
      <c r="L188" s="64"/>
      <c r="M188" s="64"/>
      <c r="N188" s="64"/>
      <c r="O188" s="64"/>
      <c r="P188" s="64"/>
      <c r="Q188" s="64"/>
      <c r="R188" s="64"/>
      <c r="S188" s="64"/>
      <c r="T188" s="64"/>
      <c r="U188" s="64"/>
      <c r="V188" s="64"/>
      <c r="W188" s="64"/>
      <c r="X188" s="64"/>
      <c r="Y188" s="64"/>
      <c r="Z188" s="64"/>
    </row>
    <row r="189" hidden="1" outlineLevel="1">
      <c r="A189" s="75" t="s">
        <v>826</v>
      </c>
      <c r="B189" s="78" t="s">
        <v>827</v>
      </c>
      <c r="C189" s="72" t="s">
        <v>602</v>
      </c>
      <c r="D189" s="78" t="s">
        <v>828</v>
      </c>
      <c r="E189" s="78" t="s">
        <v>621</v>
      </c>
      <c r="F189" s="64"/>
      <c r="G189" s="74" t="s">
        <v>3</v>
      </c>
      <c r="H189" s="64"/>
      <c r="I189" s="64"/>
      <c r="J189" s="64"/>
      <c r="K189" s="64"/>
      <c r="L189" s="64"/>
      <c r="M189" s="64"/>
      <c r="N189" s="64"/>
      <c r="O189" s="64"/>
      <c r="P189" s="64"/>
      <c r="Q189" s="64"/>
      <c r="R189" s="64"/>
      <c r="S189" s="64"/>
      <c r="T189" s="64"/>
      <c r="U189" s="64"/>
      <c r="V189" s="64"/>
      <c r="W189" s="64"/>
      <c r="X189" s="64"/>
      <c r="Y189" s="64"/>
      <c r="Z189" s="64"/>
    </row>
    <row r="190" hidden="1" outlineLevel="1">
      <c r="A190" s="75" t="s">
        <v>829</v>
      </c>
      <c r="B190" s="78" t="s">
        <v>830</v>
      </c>
      <c r="C190" s="72" t="s">
        <v>602</v>
      </c>
      <c r="D190" s="78" t="s">
        <v>831</v>
      </c>
      <c r="E190" s="78" t="s">
        <v>832</v>
      </c>
      <c r="F190" s="72" t="s">
        <v>833</v>
      </c>
      <c r="G190" s="74" t="s">
        <v>3</v>
      </c>
      <c r="H190" s="64"/>
      <c r="I190" s="64"/>
      <c r="J190" s="64"/>
      <c r="K190" s="64"/>
      <c r="L190" s="64"/>
      <c r="M190" s="64"/>
      <c r="N190" s="64"/>
      <c r="O190" s="64"/>
      <c r="P190" s="64"/>
      <c r="Q190" s="64"/>
      <c r="R190" s="64"/>
      <c r="S190" s="64"/>
      <c r="T190" s="64"/>
      <c r="U190" s="64"/>
      <c r="V190" s="64"/>
      <c r="W190" s="64"/>
      <c r="X190" s="64"/>
      <c r="Y190" s="64"/>
      <c r="Z190" s="64"/>
    </row>
    <row r="191" hidden="1" outlineLevel="1">
      <c r="A191" s="75" t="s">
        <v>834</v>
      </c>
      <c r="B191" s="78" t="s">
        <v>835</v>
      </c>
      <c r="C191" s="72" t="s">
        <v>836</v>
      </c>
      <c r="D191" s="78" t="s">
        <v>837</v>
      </c>
      <c r="E191" s="78" t="s">
        <v>838</v>
      </c>
      <c r="F191" s="64"/>
      <c r="G191" s="74" t="s">
        <v>3</v>
      </c>
      <c r="H191" s="64"/>
      <c r="I191" s="64"/>
      <c r="J191" s="64"/>
      <c r="K191" s="64"/>
      <c r="L191" s="64"/>
      <c r="M191" s="64"/>
      <c r="N191" s="64"/>
      <c r="O191" s="64"/>
      <c r="P191" s="64"/>
      <c r="Q191" s="64"/>
      <c r="R191" s="64"/>
      <c r="S191" s="64"/>
      <c r="T191" s="64"/>
      <c r="U191" s="64"/>
      <c r="V191" s="64"/>
      <c r="W191" s="64"/>
      <c r="X191" s="64"/>
      <c r="Y191" s="64"/>
      <c r="Z191" s="64"/>
    </row>
    <row r="192" hidden="1" outlineLevel="1">
      <c r="A192" s="75" t="s">
        <v>839</v>
      </c>
      <c r="B192" s="78" t="s">
        <v>840</v>
      </c>
      <c r="C192" s="72" t="s">
        <v>602</v>
      </c>
      <c r="D192" s="78" t="s">
        <v>841</v>
      </c>
      <c r="E192" s="78" t="s">
        <v>636</v>
      </c>
      <c r="F192" s="64"/>
      <c r="G192" s="74" t="s">
        <v>3</v>
      </c>
      <c r="H192" s="64"/>
      <c r="I192" s="64"/>
      <c r="J192" s="64"/>
      <c r="K192" s="64"/>
      <c r="L192" s="64"/>
      <c r="M192" s="64"/>
      <c r="N192" s="64"/>
      <c r="O192" s="64"/>
      <c r="P192" s="64"/>
      <c r="Q192" s="64"/>
      <c r="R192" s="64"/>
      <c r="S192" s="64"/>
      <c r="T192" s="64"/>
      <c r="U192" s="64"/>
      <c r="V192" s="64"/>
      <c r="W192" s="64"/>
      <c r="X192" s="64"/>
      <c r="Y192" s="64"/>
      <c r="Z192" s="64"/>
    </row>
    <row r="193" hidden="1" outlineLevel="1">
      <c r="A193" s="75" t="s">
        <v>842</v>
      </c>
      <c r="B193" s="78" t="s">
        <v>843</v>
      </c>
      <c r="C193" s="72" t="s">
        <v>602</v>
      </c>
      <c r="D193" s="78" t="s">
        <v>844</v>
      </c>
      <c r="E193" s="78" t="s">
        <v>845</v>
      </c>
      <c r="F193" s="72" t="s">
        <v>846</v>
      </c>
      <c r="G193" s="74" t="s">
        <v>3</v>
      </c>
      <c r="H193" s="64"/>
      <c r="I193" s="64"/>
      <c r="J193" s="64"/>
      <c r="K193" s="64"/>
      <c r="L193" s="64"/>
      <c r="M193" s="64"/>
      <c r="N193" s="64"/>
      <c r="O193" s="64"/>
      <c r="P193" s="64"/>
      <c r="Q193" s="64"/>
      <c r="R193" s="64"/>
      <c r="S193" s="64"/>
      <c r="T193" s="64"/>
      <c r="U193" s="64"/>
      <c r="V193" s="64"/>
      <c r="W193" s="64"/>
      <c r="X193" s="64"/>
      <c r="Y193" s="64"/>
      <c r="Z193" s="64"/>
    </row>
    <row r="194" hidden="1" outlineLevel="1">
      <c r="A194" s="75" t="s">
        <v>847</v>
      </c>
      <c r="B194" s="78" t="s">
        <v>848</v>
      </c>
      <c r="C194" s="72" t="s">
        <v>602</v>
      </c>
      <c r="D194" s="78" t="s">
        <v>849</v>
      </c>
      <c r="E194" s="78" t="s">
        <v>621</v>
      </c>
      <c r="F194" s="72" t="s">
        <v>850</v>
      </c>
      <c r="G194" s="74" t="s">
        <v>3</v>
      </c>
      <c r="H194" s="64"/>
      <c r="I194" s="64"/>
      <c r="J194" s="64"/>
      <c r="K194" s="64"/>
      <c r="L194" s="64"/>
      <c r="M194" s="64"/>
      <c r="N194" s="64"/>
      <c r="O194" s="64"/>
      <c r="P194" s="64"/>
      <c r="Q194" s="64"/>
      <c r="R194" s="64"/>
      <c r="S194" s="64"/>
      <c r="T194" s="64"/>
      <c r="U194" s="64"/>
      <c r="V194" s="64"/>
      <c r="W194" s="64"/>
      <c r="X194" s="64"/>
      <c r="Y194" s="64"/>
      <c r="Z194" s="64"/>
    </row>
    <row r="195" hidden="1" outlineLevel="1">
      <c r="A195" s="75" t="s">
        <v>851</v>
      </c>
      <c r="B195" s="78" t="s">
        <v>852</v>
      </c>
      <c r="C195" s="72" t="s">
        <v>602</v>
      </c>
      <c r="D195" s="78" t="s">
        <v>853</v>
      </c>
      <c r="E195" s="78" t="s">
        <v>854</v>
      </c>
      <c r="F195" s="64"/>
      <c r="G195" s="74" t="s">
        <v>3</v>
      </c>
      <c r="H195" s="64"/>
      <c r="I195" s="64"/>
      <c r="J195" s="64"/>
      <c r="K195" s="64"/>
      <c r="L195" s="64"/>
      <c r="M195" s="64"/>
      <c r="N195" s="64"/>
      <c r="O195" s="64"/>
      <c r="P195" s="64"/>
      <c r="Q195" s="64"/>
      <c r="R195" s="64"/>
      <c r="S195" s="64"/>
      <c r="T195" s="64"/>
      <c r="U195" s="64"/>
      <c r="V195" s="64"/>
      <c r="W195" s="64"/>
      <c r="X195" s="64"/>
      <c r="Y195" s="64"/>
      <c r="Z195" s="64"/>
    </row>
    <row r="196" hidden="1" outlineLevel="1">
      <c r="A196" s="75" t="s">
        <v>855</v>
      </c>
      <c r="B196" s="78" t="s">
        <v>856</v>
      </c>
      <c r="C196" s="72" t="s">
        <v>857</v>
      </c>
      <c r="D196" s="78" t="s">
        <v>858</v>
      </c>
      <c r="E196" s="78" t="s">
        <v>859</v>
      </c>
      <c r="F196" s="64"/>
      <c r="G196" s="74" t="s">
        <v>3</v>
      </c>
      <c r="H196" s="64"/>
      <c r="I196" s="64"/>
      <c r="J196" s="64"/>
      <c r="K196" s="64"/>
      <c r="L196" s="64"/>
      <c r="M196" s="64"/>
      <c r="N196" s="64"/>
      <c r="O196" s="64"/>
      <c r="P196" s="64"/>
      <c r="Q196" s="64"/>
      <c r="R196" s="64"/>
      <c r="S196" s="64"/>
      <c r="T196" s="64"/>
      <c r="U196" s="64"/>
      <c r="V196" s="64"/>
      <c r="W196" s="64"/>
      <c r="X196" s="64"/>
      <c r="Y196" s="64"/>
      <c r="Z196" s="64"/>
    </row>
    <row r="197" hidden="1" outlineLevel="1">
      <c r="A197" s="75" t="s">
        <v>860</v>
      </c>
      <c r="B197" s="78" t="s">
        <v>861</v>
      </c>
      <c r="C197" s="72" t="s">
        <v>602</v>
      </c>
      <c r="D197" s="78" t="s">
        <v>862</v>
      </c>
      <c r="E197" s="78" t="s">
        <v>863</v>
      </c>
      <c r="F197" s="78" t="s">
        <v>863</v>
      </c>
      <c r="G197" s="74" t="s">
        <v>3</v>
      </c>
      <c r="H197" s="64"/>
      <c r="I197" s="64"/>
      <c r="J197" s="64"/>
      <c r="K197" s="64"/>
      <c r="L197" s="64"/>
      <c r="M197" s="64"/>
      <c r="N197" s="64"/>
      <c r="O197" s="64"/>
      <c r="P197" s="64"/>
      <c r="Q197" s="64"/>
      <c r="R197" s="64"/>
      <c r="S197" s="64"/>
      <c r="T197" s="64"/>
      <c r="U197" s="64"/>
      <c r="V197" s="64"/>
      <c r="W197" s="64"/>
      <c r="X197" s="64"/>
      <c r="Y197" s="64"/>
      <c r="Z197" s="64"/>
    </row>
    <row r="198" hidden="1" outlineLevel="1">
      <c r="A198" s="75" t="s">
        <v>864</v>
      </c>
      <c r="B198" s="78" t="s">
        <v>865</v>
      </c>
      <c r="C198" s="72" t="s">
        <v>602</v>
      </c>
      <c r="D198" s="78" t="s">
        <v>866</v>
      </c>
      <c r="E198" s="78" t="s">
        <v>867</v>
      </c>
      <c r="F198" s="72" t="s">
        <v>868</v>
      </c>
      <c r="G198" s="74" t="s">
        <v>3</v>
      </c>
      <c r="H198" s="64"/>
      <c r="I198" s="64"/>
      <c r="J198" s="64"/>
      <c r="K198" s="64"/>
      <c r="L198" s="64"/>
      <c r="M198" s="64"/>
      <c r="N198" s="64"/>
      <c r="O198" s="64"/>
      <c r="P198" s="64"/>
      <c r="Q198" s="64"/>
      <c r="R198" s="64"/>
      <c r="S198" s="64"/>
      <c r="T198" s="64"/>
      <c r="U198" s="64"/>
      <c r="V198" s="64"/>
      <c r="W198" s="64"/>
      <c r="X198" s="64"/>
      <c r="Y198" s="64"/>
      <c r="Z198" s="64"/>
    </row>
    <row r="199" hidden="1" outlineLevel="1">
      <c r="A199" s="75" t="s">
        <v>869</v>
      </c>
      <c r="B199" s="78" t="s">
        <v>870</v>
      </c>
      <c r="C199" s="72" t="s">
        <v>602</v>
      </c>
      <c r="D199" s="78" t="s">
        <v>871</v>
      </c>
      <c r="E199" s="78" t="s">
        <v>621</v>
      </c>
      <c r="F199" s="72" t="s">
        <v>872</v>
      </c>
      <c r="G199" s="74" t="s">
        <v>3</v>
      </c>
      <c r="H199" s="64"/>
      <c r="I199" s="64"/>
      <c r="J199" s="64"/>
      <c r="K199" s="64"/>
      <c r="L199" s="64"/>
      <c r="M199" s="64"/>
      <c r="N199" s="64"/>
      <c r="O199" s="64"/>
      <c r="P199" s="64"/>
      <c r="Q199" s="64"/>
      <c r="R199" s="64"/>
      <c r="S199" s="64"/>
      <c r="T199" s="64"/>
      <c r="U199" s="64"/>
      <c r="V199" s="64"/>
      <c r="W199" s="64"/>
      <c r="X199" s="64"/>
      <c r="Y199" s="64"/>
      <c r="Z199" s="64"/>
    </row>
    <row r="200" hidden="1" outlineLevel="1">
      <c r="A200" s="75" t="s">
        <v>873</v>
      </c>
      <c r="B200" s="78" t="s">
        <v>874</v>
      </c>
      <c r="C200" s="72" t="s">
        <v>602</v>
      </c>
      <c r="D200" s="78" t="s">
        <v>875</v>
      </c>
      <c r="E200" s="78" t="s">
        <v>876</v>
      </c>
      <c r="F200" s="72" t="s">
        <v>872</v>
      </c>
      <c r="G200" s="74" t="s">
        <v>3</v>
      </c>
      <c r="H200" s="64"/>
      <c r="I200" s="64"/>
      <c r="J200" s="64"/>
      <c r="K200" s="64"/>
      <c r="L200" s="64"/>
      <c r="M200" s="64"/>
      <c r="N200" s="64"/>
      <c r="O200" s="64"/>
      <c r="P200" s="64"/>
      <c r="Q200" s="64"/>
      <c r="R200" s="64"/>
      <c r="S200" s="64"/>
      <c r="T200" s="64"/>
      <c r="U200" s="64"/>
      <c r="V200" s="64"/>
      <c r="W200" s="64"/>
      <c r="X200" s="64"/>
      <c r="Y200" s="64"/>
      <c r="Z200" s="64"/>
    </row>
    <row r="201" hidden="1" outlineLevel="1">
      <c r="A201" s="75" t="s">
        <v>877</v>
      </c>
      <c r="B201" s="78" t="s">
        <v>878</v>
      </c>
      <c r="C201" s="72" t="s">
        <v>879</v>
      </c>
      <c r="D201" s="78" t="s">
        <v>880</v>
      </c>
      <c r="E201" s="78" t="s">
        <v>881</v>
      </c>
      <c r="F201" s="64"/>
      <c r="G201" s="74" t="s">
        <v>3</v>
      </c>
      <c r="H201" s="64"/>
      <c r="I201" s="64"/>
      <c r="J201" s="64"/>
      <c r="K201" s="64"/>
      <c r="L201" s="64"/>
      <c r="M201" s="64"/>
      <c r="N201" s="64"/>
      <c r="O201" s="64"/>
      <c r="P201" s="64"/>
      <c r="Q201" s="64"/>
      <c r="R201" s="64"/>
      <c r="S201" s="64"/>
      <c r="T201" s="64"/>
      <c r="U201" s="64"/>
      <c r="V201" s="64"/>
      <c r="W201" s="64"/>
      <c r="X201" s="64"/>
      <c r="Y201" s="64"/>
      <c r="Z201" s="64"/>
    </row>
    <row r="202" hidden="1" outlineLevel="1">
      <c r="A202" s="75" t="s">
        <v>882</v>
      </c>
      <c r="B202" s="78" t="s">
        <v>883</v>
      </c>
      <c r="C202" s="72" t="s">
        <v>602</v>
      </c>
      <c r="D202" s="78" t="s">
        <v>884</v>
      </c>
      <c r="E202" s="78" t="s">
        <v>863</v>
      </c>
      <c r="F202" s="78" t="s">
        <v>863</v>
      </c>
      <c r="G202" s="74" t="s">
        <v>3</v>
      </c>
      <c r="H202" s="64"/>
      <c r="I202" s="64"/>
      <c r="J202" s="64"/>
      <c r="K202" s="64"/>
      <c r="L202" s="64"/>
      <c r="M202" s="64"/>
      <c r="N202" s="64"/>
      <c r="O202" s="64"/>
      <c r="P202" s="64"/>
      <c r="Q202" s="64"/>
      <c r="R202" s="64"/>
      <c r="S202" s="64"/>
      <c r="T202" s="64"/>
      <c r="U202" s="64"/>
      <c r="V202" s="64"/>
      <c r="W202" s="64"/>
      <c r="X202" s="64"/>
      <c r="Y202" s="64"/>
      <c r="Z202" s="64"/>
    </row>
    <row r="203" hidden="1" outlineLevel="1">
      <c r="A203" s="75" t="s">
        <v>885</v>
      </c>
      <c r="B203" s="84" t="s">
        <v>886</v>
      </c>
      <c r="C203" s="72" t="s">
        <v>602</v>
      </c>
      <c r="D203" s="78" t="s">
        <v>887</v>
      </c>
      <c r="E203" s="78" t="s">
        <v>888</v>
      </c>
      <c r="F203" s="64"/>
      <c r="G203" s="74" t="s">
        <v>3</v>
      </c>
      <c r="H203" s="64"/>
      <c r="I203" s="64"/>
      <c r="J203" s="64"/>
      <c r="K203" s="64"/>
      <c r="L203" s="64"/>
      <c r="M203" s="64"/>
      <c r="N203" s="64"/>
      <c r="O203" s="64"/>
      <c r="P203" s="64"/>
      <c r="Q203" s="64"/>
      <c r="R203" s="64"/>
      <c r="S203" s="64"/>
      <c r="T203" s="64"/>
      <c r="U203" s="64"/>
      <c r="V203" s="64"/>
      <c r="W203" s="64"/>
      <c r="X203" s="64"/>
      <c r="Y203" s="64"/>
      <c r="Z203" s="64"/>
    </row>
    <row r="204" hidden="1" outlineLevel="1">
      <c r="A204" s="75" t="s">
        <v>889</v>
      </c>
      <c r="B204" s="78" t="s">
        <v>890</v>
      </c>
      <c r="C204" s="72" t="s">
        <v>602</v>
      </c>
      <c r="D204" s="78" t="s">
        <v>891</v>
      </c>
      <c r="E204" s="78" t="s">
        <v>892</v>
      </c>
      <c r="F204" s="64"/>
      <c r="G204" s="74" t="s">
        <v>3</v>
      </c>
      <c r="H204" s="64"/>
      <c r="I204" s="64"/>
      <c r="J204" s="64"/>
      <c r="K204" s="64"/>
      <c r="L204" s="64"/>
      <c r="M204" s="64"/>
      <c r="N204" s="64"/>
      <c r="O204" s="64"/>
      <c r="P204" s="64"/>
      <c r="Q204" s="64"/>
      <c r="R204" s="64"/>
      <c r="S204" s="64"/>
      <c r="T204" s="64"/>
      <c r="U204" s="64"/>
      <c r="V204" s="64"/>
      <c r="W204" s="64"/>
      <c r="X204" s="64"/>
      <c r="Y204" s="64"/>
      <c r="Z204" s="64"/>
    </row>
    <row r="205" hidden="1" outlineLevel="1">
      <c r="A205" s="75" t="s">
        <v>893</v>
      </c>
      <c r="B205" s="78" t="s">
        <v>894</v>
      </c>
      <c r="C205" s="72" t="s">
        <v>602</v>
      </c>
      <c r="D205" s="78" t="s">
        <v>895</v>
      </c>
      <c r="E205" s="78" t="s">
        <v>621</v>
      </c>
      <c r="F205" s="64"/>
      <c r="G205" s="74" t="s">
        <v>3</v>
      </c>
      <c r="H205" s="64"/>
      <c r="I205" s="64"/>
      <c r="J205" s="64"/>
      <c r="K205" s="64"/>
      <c r="L205" s="64"/>
      <c r="M205" s="64"/>
      <c r="N205" s="64"/>
      <c r="O205" s="64"/>
      <c r="P205" s="64"/>
      <c r="Q205" s="64"/>
      <c r="R205" s="64"/>
      <c r="S205" s="64"/>
      <c r="T205" s="64"/>
      <c r="U205" s="64"/>
      <c r="V205" s="64"/>
      <c r="W205" s="64"/>
      <c r="X205" s="64"/>
      <c r="Y205" s="64"/>
      <c r="Z205" s="64"/>
    </row>
    <row r="206" hidden="1" outlineLevel="1">
      <c r="A206" s="75" t="s">
        <v>896</v>
      </c>
      <c r="B206" s="78" t="s">
        <v>897</v>
      </c>
      <c r="C206" s="72" t="s">
        <v>602</v>
      </c>
      <c r="D206" s="78" t="s">
        <v>898</v>
      </c>
      <c r="E206" s="78" t="s">
        <v>899</v>
      </c>
      <c r="F206" s="72" t="s">
        <v>691</v>
      </c>
      <c r="G206" s="74" t="s">
        <v>3</v>
      </c>
      <c r="H206" s="64"/>
      <c r="I206" s="64"/>
      <c r="J206" s="64"/>
      <c r="K206" s="64"/>
      <c r="L206" s="64"/>
      <c r="M206" s="64"/>
      <c r="N206" s="64"/>
      <c r="O206" s="64"/>
      <c r="P206" s="64"/>
      <c r="Q206" s="64"/>
      <c r="R206" s="64"/>
      <c r="S206" s="64"/>
      <c r="T206" s="64"/>
      <c r="U206" s="64"/>
      <c r="V206" s="64"/>
      <c r="W206" s="64"/>
      <c r="X206" s="64"/>
      <c r="Y206" s="64"/>
      <c r="Z206" s="64"/>
    </row>
    <row r="207" hidden="1" outlineLevel="1">
      <c r="A207" s="75" t="s">
        <v>900</v>
      </c>
      <c r="B207" s="78" t="s">
        <v>901</v>
      </c>
      <c r="C207" s="72" t="s">
        <v>902</v>
      </c>
      <c r="D207" s="78" t="s">
        <v>903</v>
      </c>
      <c r="E207" s="78" t="s">
        <v>904</v>
      </c>
      <c r="F207" s="64"/>
      <c r="G207" s="74" t="s">
        <v>3</v>
      </c>
      <c r="H207" s="64"/>
      <c r="I207" s="64"/>
      <c r="J207" s="64"/>
      <c r="K207" s="64"/>
      <c r="L207" s="64"/>
      <c r="M207" s="64"/>
      <c r="N207" s="64"/>
      <c r="O207" s="64"/>
      <c r="P207" s="64"/>
      <c r="Q207" s="64"/>
      <c r="R207" s="64"/>
      <c r="S207" s="64"/>
      <c r="T207" s="64"/>
      <c r="U207" s="64"/>
      <c r="V207" s="64"/>
      <c r="W207" s="64"/>
      <c r="X207" s="64"/>
      <c r="Y207" s="64"/>
      <c r="Z207" s="64"/>
    </row>
    <row r="208" hidden="1" outlineLevel="1">
      <c r="A208" s="75" t="s">
        <v>905</v>
      </c>
      <c r="B208" s="78" t="s">
        <v>906</v>
      </c>
      <c r="C208" s="72" t="s">
        <v>602</v>
      </c>
      <c r="D208" s="78" t="s">
        <v>907</v>
      </c>
      <c r="E208" s="78" t="s">
        <v>636</v>
      </c>
      <c r="F208" s="64"/>
      <c r="G208" s="74" t="s">
        <v>3</v>
      </c>
      <c r="H208" s="64"/>
      <c r="I208" s="64"/>
      <c r="J208" s="64"/>
      <c r="K208" s="64"/>
      <c r="L208" s="64"/>
      <c r="M208" s="64"/>
      <c r="N208" s="64"/>
      <c r="O208" s="64"/>
      <c r="P208" s="64"/>
      <c r="Q208" s="64"/>
      <c r="R208" s="64"/>
      <c r="S208" s="64"/>
      <c r="T208" s="64"/>
      <c r="U208" s="64"/>
      <c r="V208" s="64"/>
      <c r="W208" s="64"/>
      <c r="X208" s="64"/>
      <c r="Y208" s="64"/>
      <c r="Z208" s="64"/>
    </row>
    <row r="209" hidden="1" outlineLevel="1">
      <c r="A209" s="75" t="s">
        <v>908</v>
      </c>
      <c r="B209" s="72" t="s">
        <v>909</v>
      </c>
      <c r="C209" s="72" t="s">
        <v>602</v>
      </c>
      <c r="D209" s="78" t="s">
        <v>910</v>
      </c>
      <c r="E209" s="78" t="s">
        <v>911</v>
      </c>
      <c r="F209" s="72" t="s">
        <v>912</v>
      </c>
      <c r="G209" s="74" t="s">
        <v>3</v>
      </c>
      <c r="H209" s="64"/>
      <c r="I209" s="64"/>
      <c r="J209" s="64"/>
      <c r="K209" s="64"/>
      <c r="L209" s="64"/>
      <c r="M209" s="64"/>
      <c r="N209" s="64"/>
      <c r="O209" s="64"/>
      <c r="P209" s="64"/>
      <c r="Q209" s="64"/>
      <c r="R209" s="64"/>
      <c r="S209" s="64"/>
      <c r="T209" s="64"/>
      <c r="U209" s="64"/>
      <c r="V209" s="64"/>
      <c r="W209" s="64"/>
      <c r="X209" s="64"/>
      <c r="Y209" s="64"/>
      <c r="Z209" s="64"/>
    </row>
    <row r="210" hidden="1" outlineLevel="1">
      <c r="A210" s="75" t="s">
        <v>913</v>
      </c>
      <c r="B210" s="84" t="s">
        <v>914</v>
      </c>
      <c r="C210" s="72" t="s">
        <v>602</v>
      </c>
      <c r="D210" s="78" t="s">
        <v>915</v>
      </c>
      <c r="E210" s="84" t="s">
        <v>916</v>
      </c>
      <c r="F210" s="64"/>
      <c r="G210" s="74" t="s">
        <v>3</v>
      </c>
      <c r="H210" s="64"/>
      <c r="I210" s="64"/>
      <c r="J210" s="64"/>
      <c r="K210" s="64"/>
      <c r="L210" s="64"/>
      <c r="M210" s="64"/>
      <c r="N210" s="64"/>
      <c r="O210" s="64"/>
      <c r="P210" s="64"/>
      <c r="Q210" s="64"/>
      <c r="R210" s="64"/>
      <c r="S210" s="64"/>
      <c r="T210" s="64"/>
      <c r="U210" s="64"/>
      <c r="V210" s="64"/>
      <c r="W210" s="64"/>
      <c r="X210" s="64"/>
      <c r="Y210" s="64"/>
      <c r="Z210" s="64"/>
    </row>
    <row r="211" hidden="1" outlineLevel="1">
      <c r="A211" s="75" t="s">
        <v>917</v>
      </c>
      <c r="B211" s="84" t="s">
        <v>918</v>
      </c>
      <c r="C211" s="72" t="s">
        <v>602</v>
      </c>
      <c r="D211" s="78" t="s">
        <v>919</v>
      </c>
      <c r="E211" s="84" t="s">
        <v>920</v>
      </c>
      <c r="F211" s="64"/>
      <c r="G211" s="74" t="s">
        <v>3</v>
      </c>
      <c r="H211" s="64"/>
      <c r="I211" s="64"/>
      <c r="J211" s="64"/>
      <c r="K211" s="64"/>
      <c r="L211" s="64"/>
      <c r="M211" s="64"/>
      <c r="N211" s="64"/>
      <c r="O211" s="64"/>
      <c r="P211" s="64"/>
      <c r="Q211" s="64"/>
      <c r="R211" s="64"/>
      <c r="S211" s="64"/>
      <c r="T211" s="64"/>
      <c r="U211" s="64"/>
      <c r="V211" s="64"/>
      <c r="W211" s="64"/>
      <c r="X211" s="64"/>
      <c r="Y211" s="64"/>
      <c r="Z211" s="64"/>
    </row>
    <row r="212" hidden="1" outlineLevel="1">
      <c r="A212" s="75" t="s">
        <v>921</v>
      </c>
      <c r="B212" s="90" t="s">
        <v>922</v>
      </c>
      <c r="C212" s="72" t="s">
        <v>602</v>
      </c>
      <c r="D212" s="78" t="s">
        <v>923</v>
      </c>
      <c r="E212" s="78" t="s">
        <v>924</v>
      </c>
      <c r="F212" s="64"/>
      <c r="G212" s="74" t="s">
        <v>3</v>
      </c>
      <c r="H212" s="64"/>
      <c r="I212" s="64"/>
      <c r="J212" s="64"/>
      <c r="K212" s="64"/>
      <c r="L212" s="64"/>
      <c r="M212" s="64"/>
      <c r="N212" s="64"/>
      <c r="O212" s="64"/>
      <c r="P212" s="64"/>
      <c r="Q212" s="64"/>
      <c r="R212" s="64"/>
      <c r="S212" s="64"/>
      <c r="T212" s="64"/>
      <c r="U212" s="64"/>
      <c r="V212" s="64"/>
      <c r="W212" s="64"/>
      <c r="X212" s="64"/>
      <c r="Y212" s="64"/>
      <c r="Z212" s="64"/>
    </row>
    <row r="213" hidden="1" outlineLevel="1">
      <c r="A213" s="75" t="s">
        <v>925</v>
      </c>
      <c r="B213" s="90" t="s">
        <v>926</v>
      </c>
      <c r="C213" s="72" t="s">
        <v>602</v>
      </c>
      <c r="D213" s="78" t="s">
        <v>927</v>
      </c>
      <c r="E213" s="78" t="s">
        <v>928</v>
      </c>
      <c r="F213" s="72" t="s">
        <v>929</v>
      </c>
      <c r="G213" s="74" t="s">
        <v>3</v>
      </c>
      <c r="H213" s="64"/>
      <c r="I213" s="64"/>
      <c r="J213" s="64"/>
      <c r="K213" s="64"/>
      <c r="L213" s="64"/>
      <c r="M213" s="64"/>
      <c r="N213" s="64"/>
      <c r="O213" s="64"/>
      <c r="P213" s="64"/>
      <c r="Q213" s="64"/>
      <c r="R213" s="64"/>
      <c r="S213" s="64"/>
      <c r="T213" s="64"/>
      <c r="U213" s="64"/>
      <c r="V213" s="64"/>
      <c r="W213" s="64"/>
      <c r="X213" s="64"/>
      <c r="Y213" s="64"/>
      <c r="Z213" s="64"/>
    </row>
    <row r="214" hidden="1" outlineLevel="1">
      <c r="A214" s="75" t="s">
        <v>930</v>
      </c>
      <c r="B214" s="90" t="s">
        <v>931</v>
      </c>
      <c r="C214" s="72" t="s">
        <v>932</v>
      </c>
      <c r="D214" s="78" t="s">
        <v>927</v>
      </c>
      <c r="E214" s="78" t="s">
        <v>621</v>
      </c>
      <c r="F214" s="64"/>
      <c r="G214" s="74" t="s">
        <v>3</v>
      </c>
      <c r="H214" s="64"/>
      <c r="I214" s="64"/>
      <c r="J214" s="64"/>
      <c r="K214" s="64"/>
      <c r="L214" s="64"/>
      <c r="M214" s="64"/>
      <c r="N214" s="64"/>
      <c r="O214" s="64"/>
      <c r="P214" s="64"/>
      <c r="Q214" s="64"/>
      <c r="R214" s="64"/>
      <c r="S214" s="64"/>
      <c r="T214" s="64"/>
      <c r="U214" s="64"/>
      <c r="V214" s="64"/>
      <c r="W214" s="64"/>
      <c r="X214" s="64"/>
      <c r="Y214" s="64"/>
      <c r="Z214" s="64"/>
    </row>
    <row r="215" hidden="1" outlineLevel="1">
      <c r="A215" s="75" t="s">
        <v>933</v>
      </c>
      <c r="B215" s="90" t="s">
        <v>934</v>
      </c>
      <c r="C215" s="72" t="s">
        <v>932</v>
      </c>
      <c r="D215" s="78" t="s">
        <v>927</v>
      </c>
      <c r="E215" s="78" t="s">
        <v>935</v>
      </c>
      <c r="F215" s="64"/>
      <c r="G215" s="74" t="s">
        <v>3</v>
      </c>
      <c r="H215" s="64"/>
      <c r="I215" s="64"/>
      <c r="J215" s="64"/>
      <c r="K215" s="64"/>
      <c r="L215" s="64"/>
      <c r="M215" s="64"/>
      <c r="N215" s="64"/>
      <c r="O215" s="64"/>
      <c r="P215" s="64"/>
      <c r="Q215" s="64"/>
      <c r="R215" s="64"/>
      <c r="S215" s="64"/>
      <c r="T215" s="64"/>
      <c r="U215" s="64"/>
      <c r="V215" s="64"/>
      <c r="W215" s="64"/>
      <c r="X215" s="64"/>
      <c r="Y215" s="64"/>
      <c r="Z215" s="64"/>
    </row>
    <row r="216" hidden="1" outlineLevel="1">
      <c r="A216" s="75"/>
      <c r="B216" s="93" t="s">
        <v>936</v>
      </c>
      <c r="C216" s="83"/>
      <c r="D216" s="83"/>
      <c r="E216" s="83"/>
      <c r="F216" s="83"/>
      <c r="G216" s="83"/>
      <c r="H216" s="64"/>
      <c r="I216" s="64"/>
      <c r="J216" s="64"/>
      <c r="K216" s="64"/>
      <c r="L216" s="64"/>
      <c r="M216" s="64"/>
      <c r="N216" s="64"/>
      <c r="O216" s="64"/>
      <c r="P216" s="64"/>
      <c r="Q216" s="64"/>
      <c r="R216" s="64"/>
      <c r="S216" s="64"/>
      <c r="T216" s="64"/>
      <c r="U216" s="64"/>
      <c r="V216" s="64"/>
      <c r="W216" s="64"/>
      <c r="X216" s="64"/>
      <c r="Y216" s="64"/>
      <c r="Z216" s="64"/>
    </row>
    <row r="217" hidden="1" outlineLevel="1">
      <c r="A217" s="75" t="s">
        <v>937</v>
      </c>
      <c r="B217" s="72" t="s">
        <v>938</v>
      </c>
      <c r="C217" s="72" t="s">
        <v>939</v>
      </c>
      <c r="D217" s="72" t="s">
        <v>940</v>
      </c>
      <c r="E217" s="72" t="s">
        <v>941</v>
      </c>
      <c r="F217" s="64"/>
      <c r="G217" s="74" t="s">
        <v>3</v>
      </c>
      <c r="H217" s="64"/>
      <c r="I217" s="64"/>
      <c r="J217" s="64"/>
      <c r="K217" s="64"/>
      <c r="L217" s="64"/>
      <c r="M217" s="64"/>
      <c r="N217" s="64"/>
      <c r="O217" s="64"/>
      <c r="P217" s="64"/>
      <c r="Q217" s="64"/>
      <c r="R217" s="64"/>
      <c r="S217" s="64"/>
      <c r="T217" s="64"/>
      <c r="U217" s="64"/>
      <c r="V217" s="64"/>
      <c r="W217" s="64"/>
      <c r="X217" s="64"/>
      <c r="Y217" s="64"/>
      <c r="Z217" s="64"/>
    </row>
    <row r="218" hidden="1" outlineLevel="1">
      <c r="A218" s="75" t="s">
        <v>942</v>
      </c>
      <c r="B218" s="72" t="s">
        <v>943</v>
      </c>
      <c r="C218" s="72" t="s">
        <v>939</v>
      </c>
      <c r="D218" s="72" t="s">
        <v>944</v>
      </c>
      <c r="E218" s="72" t="s">
        <v>945</v>
      </c>
      <c r="F218" s="64"/>
      <c r="G218" s="74" t="s">
        <v>3</v>
      </c>
      <c r="H218" s="64"/>
      <c r="I218" s="64"/>
      <c r="J218" s="64"/>
      <c r="K218" s="64"/>
      <c r="L218" s="64"/>
      <c r="M218" s="64"/>
      <c r="N218" s="64"/>
      <c r="O218" s="64"/>
      <c r="P218" s="64"/>
      <c r="Q218" s="64"/>
      <c r="R218" s="64"/>
      <c r="S218" s="64"/>
      <c r="T218" s="64"/>
      <c r="U218" s="64"/>
      <c r="V218" s="64"/>
      <c r="W218" s="64"/>
      <c r="X218" s="64"/>
      <c r="Y218" s="64"/>
      <c r="Z218" s="64"/>
    </row>
    <row r="219" hidden="1" outlineLevel="1">
      <c r="A219" s="75" t="s">
        <v>946</v>
      </c>
      <c r="B219" s="72" t="s">
        <v>947</v>
      </c>
      <c r="C219" s="72" t="s">
        <v>939</v>
      </c>
      <c r="D219" s="72" t="s">
        <v>948</v>
      </c>
      <c r="E219" s="72" t="s">
        <v>949</v>
      </c>
      <c r="F219" s="64"/>
      <c r="G219" s="74" t="s">
        <v>3</v>
      </c>
      <c r="H219" s="64"/>
      <c r="I219" s="64"/>
      <c r="J219" s="64"/>
      <c r="K219" s="64"/>
      <c r="L219" s="64"/>
      <c r="M219" s="64"/>
      <c r="N219" s="64"/>
      <c r="O219" s="64"/>
      <c r="P219" s="64"/>
      <c r="Q219" s="64"/>
      <c r="R219" s="64"/>
      <c r="S219" s="64"/>
      <c r="T219" s="64"/>
      <c r="U219" s="64"/>
      <c r="V219" s="64"/>
      <c r="W219" s="64"/>
      <c r="X219" s="64"/>
      <c r="Y219" s="64"/>
      <c r="Z219" s="64"/>
    </row>
    <row r="220" hidden="1" outlineLevel="1">
      <c r="A220" s="64"/>
      <c r="B220" s="93" t="s">
        <v>950</v>
      </c>
      <c r="C220" s="83"/>
      <c r="D220" s="83"/>
      <c r="E220" s="83"/>
      <c r="F220" s="83"/>
      <c r="G220" s="83"/>
      <c r="H220" s="64"/>
      <c r="I220" s="64"/>
      <c r="J220" s="64"/>
      <c r="K220" s="64"/>
      <c r="L220" s="64"/>
      <c r="M220" s="64"/>
      <c r="N220" s="64"/>
      <c r="O220" s="64"/>
      <c r="P220" s="64"/>
      <c r="Q220" s="64"/>
      <c r="R220" s="64"/>
      <c r="S220" s="64"/>
      <c r="T220" s="64"/>
      <c r="U220" s="64"/>
      <c r="V220" s="64"/>
      <c r="W220" s="64"/>
      <c r="X220" s="64"/>
      <c r="Y220" s="64"/>
      <c r="Z220" s="64"/>
    </row>
    <row r="221" hidden="1" outlineLevel="1">
      <c r="A221" s="64"/>
      <c r="B221" s="92" t="s">
        <v>951</v>
      </c>
      <c r="C221" s="88"/>
      <c r="D221" s="88"/>
      <c r="E221" s="88"/>
      <c r="F221" s="88"/>
      <c r="G221" s="88"/>
      <c r="H221" s="64"/>
      <c r="I221" s="64"/>
      <c r="J221" s="64"/>
      <c r="K221" s="64"/>
      <c r="L221" s="64"/>
      <c r="M221" s="64"/>
      <c r="N221" s="64"/>
      <c r="O221" s="64"/>
      <c r="P221" s="64"/>
      <c r="Q221" s="64"/>
      <c r="R221" s="64"/>
      <c r="S221" s="64"/>
      <c r="T221" s="64"/>
      <c r="U221" s="64"/>
      <c r="V221" s="64"/>
      <c r="W221" s="64"/>
      <c r="X221" s="64"/>
      <c r="Y221" s="64"/>
      <c r="Z221" s="64"/>
    </row>
    <row r="222" hidden="1" outlineLevel="1">
      <c r="A222" s="75" t="s">
        <v>952</v>
      </c>
      <c r="B222" s="72" t="s">
        <v>953</v>
      </c>
      <c r="C222" s="72" t="s">
        <v>954</v>
      </c>
      <c r="D222" s="72" t="s">
        <v>955</v>
      </c>
      <c r="E222" s="72" t="s">
        <v>956</v>
      </c>
      <c r="F222" s="64"/>
      <c r="G222" s="74" t="s">
        <v>3</v>
      </c>
      <c r="H222" s="64"/>
      <c r="I222" s="64"/>
      <c r="J222" s="64"/>
      <c r="K222" s="64"/>
      <c r="L222" s="64"/>
      <c r="M222" s="64"/>
      <c r="N222" s="64"/>
      <c r="O222" s="64"/>
      <c r="P222" s="64"/>
      <c r="Q222" s="64"/>
      <c r="R222" s="64"/>
      <c r="S222" s="64"/>
      <c r="T222" s="64"/>
      <c r="U222" s="64"/>
      <c r="V222" s="64"/>
      <c r="W222" s="64"/>
      <c r="X222" s="64"/>
      <c r="Y222" s="64"/>
      <c r="Z222" s="64"/>
    </row>
    <row r="223" hidden="1" outlineLevel="1">
      <c r="A223" s="75" t="s">
        <v>957</v>
      </c>
      <c r="B223" s="72" t="s">
        <v>958</v>
      </c>
      <c r="C223" s="72" t="s">
        <v>954</v>
      </c>
      <c r="D223" s="72" t="s">
        <v>955</v>
      </c>
      <c r="E223" s="72" t="s">
        <v>959</v>
      </c>
      <c r="F223" s="64"/>
      <c r="G223" s="74" t="s">
        <v>3</v>
      </c>
      <c r="H223" s="64"/>
      <c r="I223" s="64"/>
      <c r="J223" s="64"/>
      <c r="K223" s="64"/>
      <c r="L223" s="64"/>
      <c r="M223" s="64"/>
      <c r="N223" s="64"/>
      <c r="O223" s="64"/>
      <c r="P223" s="64"/>
      <c r="Q223" s="64"/>
      <c r="R223" s="64"/>
      <c r="S223" s="64"/>
      <c r="T223" s="64"/>
      <c r="U223" s="64"/>
      <c r="V223" s="64"/>
      <c r="W223" s="64"/>
      <c r="X223" s="64"/>
      <c r="Y223" s="64"/>
      <c r="Z223" s="64"/>
    </row>
    <row r="224" hidden="1" outlineLevel="1">
      <c r="A224" s="75" t="s">
        <v>960</v>
      </c>
      <c r="B224" s="72" t="s">
        <v>961</v>
      </c>
      <c r="C224" s="72" t="s">
        <v>954</v>
      </c>
      <c r="D224" s="72" t="s">
        <v>955</v>
      </c>
      <c r="E224" s="72" t="s">
        <v>962</v>
      </c>
      <c r="F224" s="64"/>
      <c r="G224" s="74" t="s">
        <v>3</v>
      </c>
      <c r="H224" s="64"/>
      <c r="I224" s="64"/>
      <c r="J224" s="64"/>
      <c r="K224" s="64"/>
      <c r="L224" s="64"/>
      <c r="M224" s="64"/>
      <c r="N224" s="64"/>
      <c r="O224" s="64"/>
      <c r="P224" s="64"/>
      <c r="Q224" s="64"/>
      <c r="R224" s="64"/>
      <c r="S224" s="64"/>
      <c r="T224" s="64"/>
      <c r="U224" s="64"/>
      <c r="V224" s="64"/>
      <c r="W224" s="64"/>
      <c r="X224" s="64"/>
      <c r="Y224" s="64"/>
      <c r="Z224" s="64"/>
    </row>
    <row r="225" hidden="1" outlineLevel="1">
      <c r="A225" s="75" t="s">
        <v>963</v>
      </c>
      <c r="B225" s="72" t="s">
        <v>964</v>
      </c>
      <c r="C225" s="72" t="s">
        <v>954</v>
      </c>
      <c r="D225" s="72" t="s">
        <v>965</v>
      </c>
      <c r="E225" s="72" t="s">
        <v>966</v>
      </c>
      <c r="F225" s="64"/>
      <c r="G225" s="74" t="s">
        <v>3</v>
      </c>
      <c r="H225" s="64"/>
      <c r="I225" s="64"/>
      <c r="J225" s="64"/>
      <c r="K225" s="64"/>
      <c r="L225" s="64"/>
      <c r="M225" s="64"/>
      <c r="N225" s="64"/>
      <c r="O225" s="64"/>
      <c r="P225" s="64"/>
      <c r="Q225" s="64"/>
      <c r="R225" s="64"/>
      <c r="S225" s="64"/>
      <c r="T225" s="64"/>
      <c r="U225" s="64"/>
      <c r="V225" s="64"/>
      <c r="W225" s="64"/>
      <c r="X225" s="64"/>
      <c r="Y225" s="64"/>
      <c r="Z225" s="64"/>
    </row>
    <row r="226" hidden="1" outlineLevel="1">
      <c r="A226" s="75" t="s">
        <v>967</v>
      </c>
      <c r="B226" s="72" t="s">
        <v>968</v>
      </c>
      <c r="C226" s="72" t="s">
        <v>954</v>
      </c>
      <c r="D226" s="72" t="s">
        <v>969</v>
      </c>
      <c r="E226" s="72" t="s">
        <v>970</v>
      </c>
      <c r="F226" s="64"/>
      <c r="G226" s="74" t="s">
        <v>3</v>
      </c>
      <c r="H226" s="64"/>
      <c r="I226" s="64"/>
      <c r="J226" s="64"/>
      <c r="K226" s="64"/>
      <c r="L226" s="64"/>
      <c r="M226" s="64"/>
      <c r="N226" s="64"/>
      <c r="O226" s="64"/>
      <c r="P226" s="64"/>
      <c r="Q226" s="64"/>
      <c r="R226" s="64"/>
      <c r="S226" s="64"/>
      <c r="T226" s="64"/>
      <c r="U226" s="64"/>
      <c r="V226" s="64"/>
      <c r="W226" s="64"/>
      <c r="X226" s="64"/>
      <c r="Y226" s="64"/>
      <c r="Z226" s="64"/>
    </row>
    <row r="227" hidden="1" outlineLevel="1">
      <c r="A227" s="75" t="s">
        <v>971</v>
      </c>
      <c r="B227" s="72" t="s">
        <v>972</v>
      </c>
      <c r="C227" s="72" t="s">
        <v>954</v>
      </c>
      <c r="D227" s="72" t="s">
        <v>955</v>
      </c>
      <c r="E227" s="72" t="s">
        <v>973</v>
      </c>
      <c r="F227" s="64"/>
      <c r="G227" s="74" t="s">
        <v>3</v>
      </c>
      <c r="H227" s="64"/>
      <c r="I227" s="64"/>
      <c r="J227" s="64"/>
      <c r="K227" s="64"/>
      <c r="L227" s="64"/>
      <c r="M227" s="64"/>
      <c r="N227" s="64"/>
      <c r="O227" s="64"/>
      <c r="P227" s="64"/>
      <c r="Q227" s="64"/>
      <c r="R227" s="64"/>
      <c r="S227" s="64"/>
      <c r="T227" s="64"/>
      <c r="U227" s="64"/>
      <c r="V227" s="64"/>
      <c r="W227" s="64"/>
      <c r="X227" s="64"/>
      <c r="Y227" s="64"/>
      <c r="Z227" s="64"/>
    </row>
    <row r="228" hidden="1" outlineLevel="1">
      <c r="A228" s="75" t="s">
        <v>974</v>
      </c>
      <c r="B228" s="72" t="s">
        <v>975</v>
      </c>
      <c r="C228" s="72" t="s">
        <v>954</v>
      </c>
      <c r="D228" s="72" t="s">
        <v>955</v>
      </c>
      <c r="E228" s="72" t="s">
        <v>976</v>
      </c>
      <c r="F228" s="64"/>
      <c r="G228" s="74" t="s">
        <v>3</v>
      </c>
      <c r="H228" s="64"/>
      <c r="I228" s="64"/>
      <c r="J228" s="64"/>
      <c r="K228" s="64"/>
      <c r="L228" s="64"/>
      <c r="M228" s="64"/>
      <c r="N228" s="64"/>
      <c r="O228" s="64"/>
      <c r="P228" s="64"/>
      <c r="Q228" s="64"/>
      <c r="R228" s="64"/>
      <c r="S228" s="64"/>
      <c r="T228" s="64"/>
      <c r="U228" s="64"/>
      <c r="V228" s="64"/>
      <c r="W228" s="64"/>
      <c r="X228" s="64"/>
      <c r="Y228" s="64"/>
      <c r="Z228" s="64"/>
    </row>
    <row r="229" hidden="1" outlineLevel="1">
      <c r="A229" s="94"/>
      <c r="B229" s="95" t="s">
        <v>977</v>
      </c>
      <c r="C229" s="95"/>
      <c r="D229" s="95"/>
      <c r="E229" s="95"/>
      <c r="F229" s="95"/>
      <c r="G229" s="95"/>
      <c r="H229" s="96"/>
      <c r="I229" s="96"/>
      <c r="J229" s="96"/>
      <c r="K229" s="96"/>
      <c r="L229" s="96"/>
      <c r="M229" s="96"/>
      <c r="N229" s="96"/>
      <c r="O229" s="96"/>
      <c r="P229" s="96"/>
      <c r="Q229" s="96"/>
      <c r="R229" s="96"/>
      <c r="S229" s="96"/>
      <c r="T229" s="96"/>
      <c r="U229" s="96"/>
      <c r="V229" s="96"/>
      <c r="W229" s="96"/>
      <c r="X229" s="96"/>
      <c r="Y229" s="96"/>
      <c r="Z229" s="96"/>
    </row>
    <row r="230" hidden="1" outlineLevel="1">
      <c r="A230" s="75" t="s">
        <v>978</v>
      </c>
      <c r="B230" s="72" t="s">
        <v>979</v>
      </c>
      <c r="C230" s="72" t="s">
        <v>954</v>
      </c>
      <c r="D230" s="72" t="s">
        <v>980</v>
      </c>
      <c r="E230" s="72" t="s">
        <v>981</v>
      </c>
      <c r="F230" s="64"/>
      <c r="G230" s="74" t="s">
        <v>3</v>
      </c>
      <c r="H230" s="64"/>
      <c r="I230" s="64"/>
      <c r="J230" s="64"/>
      <c r="K230" s="64"/>
      <c r="L230" s="64"/>
      <c r="M230" s="64"/>
      <c r="N230" s="64"/>
      <c r="O230" s="64"/>
      <c r="P230" s="64"/>
      <c r="Q230" s="64"/>
      <c r="R230" s="64"/>
      <c r="S230" s="64"/>
      <c r="T230" s="64"/>
      <c r="U230" s="64"/>
      <c r="V230" s="64"/>
      <c r="W230" s="64"/>
      <c r="X230" s="64"/>
      <c r="Y230" s="64"/>
      <c r="Z230" s="64"/>
    </row>
    <row r="231" hidden="1" outlineLevel="1">
      <c r="A231" s="75" t="s">
        <v>982</v>
      </c>
      <c r="B231" s="72" t="s">
        <v>983</v>
      </c>
      <c r="C231" s="72" t="s">
        <v>954</v>
      </c>
      <c r="D231" s="72" t="s">
        <v>984</v>
      </c>
      <c r="E231" s="72" t="s">
        <v>985</v>
      </c>
      <c r="F231" s="72" t="s">
        <v>622</v>
      </c>
      <c r="G231" s="74" t="s">
        <v>3</v>
      </c>
      <c r="H231" s="64"/>
      <c r="I231" s="64"/>
      <c r="J231" s="64"/>
      <c r="K231" s="64"/>
      <c r="L231" s="64"/>
      <c r="M231" s="64"/>
      <c r="N231" s="64"/>
      <c r="O231" s="64"/>
      <c r="P231" s="64"/>
      <c r="Q231" s="64"/>
      <c r="R231" s="64"/>
      <c r="S231" s="64"/>
      <c r="T231" s="64"/>
      <c r="U231" s="64"/>
      <c r="V231" s="64"/>
      <c r="W231" s="64"/>
      <c r="X231" s="64"/>
      <c r="Y231" s="64"/>
      <c r="Z231" s="64"/>
    </row>
    <row r="232" hidden="1" outlineLevel="1">
      <c r="A232" s="75" t="s">
        <v>986</v>
      </c>
      <c r="B232" s="72" t="s">
        <v>987</v>
      </c>
      <c r="C232" s="72" t="s">
        <v>954</v>
      </c>
      <c r="D232" s="72" t="s">
        <v>988</v>
      </c>
      <c r="E232" s="72" t="s">
        <v>989</v>
      </c>
      <c r="F232" s="81" t="s">
        <v>665</v>
      </c>
      <c r="G232" s="74" t="s">
        <v>3</v>
      </c>
      <c r="H232" s="64"/>
      <c r="I232" s="64"/>
      <c r="J232" s="64"/>
      <c r="K232" s="64"/>
      <c r="L232" s="64"/>
      <c r="M232" s="64"/>
      <c r="N232" s="64"/>
      <c r="O232" s="64"/>
      <c r="P232" s="64"/>
      <c r="Q232" s="64"/>
      <c r="R232" s="64"/>
      <c r="S232" s="64"/>
      <c r="T232" s="64"/>
      <c r="U232" s="64"/>
      <c r="V232" s="64"/>
      <c r="W232" s="64"/>
      <c r="X232" s="64"/>
      <c r="Y232" s="64"/>
      <c r="Z232" s="64"/>
    </row>
    <row r="233" hidden="1" outlineLevel="1">
      <c r="A233" s="75" t="s">
        <v>990</v>
      </c>
      <c r="B233" s="72" t="s">
        <v>991</v>
      </c>
      <c r="C233" s="72" t="s">
        <v>954</v>
      </c>
      <c r="D233" s="72" t="s">
        <v>992</v>
      </c>
      <c r="E233" s="72" t="s">
        <v>993</v>
      </c>
      <c r="F233" s="64"/>
      <c r="G233" s="74" t="s">
        <v>3</v>
      </c>
      <c r="H233" s="64"/>
      <c r="I233" s="64"/>
      <c r="J233" s="64"/>
      <c r="K233" s="64"/>
      <c r="L233" s="64"/>
      <c r="M233" s="64"/>
      <c r="N233" s="64"/>
      <c r="O233" s="64"/>
      <c r="P233" s="64"/>
      <c r="Q233" s="64"/>
      <c r="R233" s="64"/>
      <c r="S233" s="64"/>
      <c r="T233" s="64"/>
      <c r="U233" s="64"/>
      <c r="V233" s="64"/>
      <c r="W233" s="64"/>
      <c r="X233" s="64"/>
      <c r="Y233" s="64"/>
      <c r="Z233" s="64"/>
    </row>
    <row r="234" hidden="1" outlineLevel="1">
      <c r="A234" s="75" t="s">
        <v>994</v>
      </c>
      <c r="B234" s="72" t="s">
        <v>995</v>
      </c>
      <c r="C234" s="72" t="s">
        <v>954</v>
      </c>
      <c r="D234" s="72" t="s">
        <v>996</v>
      </c>
      <c r="E234" s="72" t="s">
        <v>997</v>
      </c>
      <c r="F234" s="81" t="s">
        <v>998</v>
      </c>
      <c r="G234" s="74" t="s">
        <v>3</v>
      </c>
      <c r="H234" s="64"/>
      <c r="I234" s="64"/>
      <c r="J234" s="64"/>
      <c r="K234" s="64"/>
      <c r="L234" s="64"/>
      <c r="M234" s="64"/>
      <c r="N234" s="64"/>
      <c r="O234" s="64"/>
      <c r="P234" s="64"/>
      <c r="Q234" s="64"/>
      <c r="R234" s="64"/>
      <c r="S234" s="64"/>
      <c r="T234" s="64"/>
      <c r="U234" s="64"/>
      <c r="V234" s="64"/>
      <c r="W234" s="64"/>
      <c r="X234" s="64"/>
      <c r="Y234" s="64"/>
      <c r="Z234" s="64"/>
    </row>
    <row r="235" hidden="1" outlineLevel="1">
      <c r="A235" s="75" t="s">
        <v>999</v>
      </c>
      <c r="B235" s="72" t="s">
        <v>1000</v>
      </c>
      <c r="C235" s="72" t="s">
        <v>954</v>
      </c>
      <c r="D235" s="72" t="s">
        <v>1001</v>
      </c>
      <c r="E235" s="72" t="s">
        <v>1002</v>
      </c>
      <c r="F235" s="64"/>
      <c r="G235" s="74" t="s">
        <v>3</v>
      </c>
      <c r="H235" s="64"/>
      <c r="I235" s="64"/>
      <c r="J235" s="64"/>
      <c r="K235" s="64"/>
      <c r="L235" s="64"/>
      <c r="M235" s="64"/>
      <c r="N235" s="64"/>
      <c r="O235" s="64"/>
      <c r="P235" s="64"/>
      <c r="Q235" s="64"/>
      <c r="R235" s="64"/>
      <c r="S235" s="64"/>
      <c r="T235" s="64"/>
      <c r="U235" s="64"/>
      <c r="V235" s="64"/>
      <c r="W235" s="64"/>
      <c r="X235" s="64"/>
      <c r="Y235" s="64"/>
      <c r="Z235" s="64"/>
    </row>
    <row r="236" hidden="1" outlineLevel="1">
      <c r="A236" s="75" t="s">
        <v>1003</v>
      </c>
      <c r="B236" s="72" t="s">
        <v>1004</v>
      </c>
      <c r="C236" s="72" t="s">
        <v>954</v>
      </c>
      <c r="D236" s="72" t="s">
        <v>1005</v>
      </c>
      <c r="E236" s="72" t="s">
        <v>1006</v>
      </c>
      <c r="F236" s="72" t="s">
        <v>1007</v>
      </c>
      <c r="G236" s="74" t="s">
        <v>3</v>
      </c>
      <c r="H236" s="64"/>
      <c r="I236" s="64"/>
      <c r="J236" s="64"/>
      <c r="K236" s="64"/>
      <c r="L236" s="64"/>
      <c r="M236" s="64"/>
      <c r="N236" s="64"/>
      <c r="O236" s="64"/>
      <c r="P236" s="64"/>
      <c r="Q236" s="64"/>
      <c r="R236" s="64"/>
      <c r="S236" s="64"/>
      <c r="T236" s="64"/>
      <c r="U236" s="64"/>
      <c r="V236" s="64"/>
      <c r="W236" s="64"/>
      <c r="X236" s="64"/>
      <c r="Y236" s="64"/>
      <c r="Z236" s="64"/>
    </row>
    <row r="237" hidden="1" outlineLevel="1">
      <c r="A237" s="75" t="s">
        <v>1008</v>
      </c>
      <c r="B237" s="72" t="s">
        <v>1009</v>
      </c>
      <c r="C237" s="72" t="s">
        <v>954</v>
      </c>
      <c r="D237" s="72" t="s">
        <v>1010</v>
      </c>
      <c r="E237" s="72" t="s">
        <v>1011</v>
      </c>
      <c r="F237" s="72" t="s">
        <v>772</v>
      </c>
      <c r="G237" s="74" t="s">
        <v>3</v>
      </c>
      <c r="H237" s="64"/>
      <c r="I237" s="64"/>
      <c r="J237" s="64"/>
      <c r="K237" s="64"/>
      <c r="L237" s="64"/>
      <c r="M237" s="64"/>
      <c r="N237" s="64"/>
      <c r="O237" s="64"/>
      <c r="P237" s="64"/>
      <c r="Q237" s="64"/>
      <c r="R237" s="64"/>
      <c r="S237" s="64"/>
      <c r="T237" s="64"/>
      <c r="U237" s="64"/>
      <c r="V237" s="64"/>
      <c r="W237" s="64"/>
      <c r="X237" s="64"/>
      <c r="Y237" s="64"/>
      <c r="Z237" s="64"/>
    </row>
    <row r="238" hidden="1" outlineLevel="1">
      <c r="A238" s="75" t="s">
        <v>1012</v>
      </c>
      <c r="B238" s="72" t="s">
        <v>1013</v>
      </c>
      <c r="C238" s="72" t="s">
        <v>954</v>
      </c>
      <c r="D238" s="72" t="s">
        <v>1014</v>
      </c>
      <c r="E238" s="72" t="s">
        <v>1015</v>
      </c>
      <c r="F238" s="64"/>
      <c r="G238" s="74" t="s">
        <v>3</v>
      </c>
      <c r="H238" s="64"/>
      <c r="I238" s="64"/>
      <c r="J238" s="64"/>
      <c r="K238" s="64"/>
      <c r="L238" s="64"/>
      <c r="M238" s="64"/>
      <c r="N238" s="64"/>
      <c r="O238" s="64"/>
      <c r="P238" s="64"/>
      <c r="Q238" s="64"/>
      <c r="R238" s="64"/>
      <c r="S238" s="64"/>
      <c r="T238" s="64"/>
      <c r="U238" s="64"/>
      <c r="V238" s="64"/>
      <c r="W238" s="64"/>
      <c r="X238" s="64"/>
      <c r="Y238" s="64"/>
      <c r="Z238" s="64"/>
    </row>
    <row r="239" hidden="1" outlineLevel="1">
      <c r="A239" s="75" t="s">
        <v>1016</v>
      </c>
      <c r="B239" s="72" t="s">
        <v>1017</v>
      </c>
      <c r="C239" s="72" t="s">
        <v>954</v>
      </c>
      <c r="D239" s="72" t="s">
        <v>1018</v>
      </c>
      <c r="E239" s="72" t="s">
        <v>1019</v>
      </c>
      <c r="F239" s="64"/>
      <c r="G239" s="74" t="s">
        <v>3</v>
      </c>
      <c r="H239" s="64"/>
      <c r="I239" s="64"/>
      <c r="J239" s="64"/>
      <c r="K239" s="64"/>
      <c r="L239" s="64"/>
      <c r="M239" s="64"/>
      <c r="N239" s="64"/>
      <c r="O239" s="64"/>
      <c r="P239" s="64"/>
      <c r="Q239" s="64"/>
      <c r="R239" s="64"/>
      <c r="S239" s="64"/>
      <c r="T239" s="64"/>
      <c r="U239" s="64"/>
      <c r="V239" s="64"/>
      <c r="W239" s="64"/>
      <c r="X239" s="64"/>
      <c r="Y239" s="64"/>
      <c r="Z239" s="64"/>
    </row>
    <row r="240" hidden="1" outlineLevel="1">
      <c r="A240" s="75" t="s">
        <v>1020</v>
      </c>
      <c r="B240" s="72" t="s">
        <v>1021</v>
      </c>
      <c r="C240" s="72" t="s">
        <v>954</v>
      </c>
      <c r="D240" s="72" t="s">
        <v>1022</v>
      </c>
      <c r="E240" s="72" t="s">
        <v>1011</v>
      </c>
      <c r="F240" s="81" t="s">
        <v>1023</v>
      </c>
      <c r="G240" s="74" t="s">
        <v>3</v>
      </c>
      <c r="H240" s="64"/>
      <c r="I240" s="64"/>
      <c r="J240" s="64"/>
      <c r="K240" s="64"/>
      <c r="L240" s="64"/>
      <c r="M240" s="64"/>
      <c r="N240" s="64"/>
      <c r="O240" s="64"/>
      <c r="P240" s="64"/>
      <c r="Q240" s="64"/>
      <c r="R240" s="64"/>
      <c r="S240" s="64"/>
      <c r="T240" s="64"/>
      <c r="U240" s="64"/>
      <c r="V240" s="64"/>
      <c r="W240" s="64"/>
      <c r="X240" s="64"/>
      <c r="Y240" s="64"/>
      <c r="Z240" s="64"/>
    </row>
    <row r="241" hidden="1" outlineLevel="1">
      <c r="A241" s="75" t="s">
        <v>1024</v>
      </c>
      <c r="B241" s="72" t="s">
        <v>1025</v>
      </c>
      <c r="C241" s="72" t="s">
        <v>954</v>
      </c>
      <c r="D241" s="72" t="s">
        <v>1026</v>
      </c>
      <c r="E241" s="72" t="s">
        <v>1027</v>
      </c>
      <c r="F241" s="64"/>
      <c r="G241" s="74" t="s">
        <v>3</v>
      </c>
      <c r="H241" s="64"/>
      <c r="I241" s="64"/>
      <c r="J241" s="64"/>
      <c r="K241" s="64"/>
      <c r="L241" s="64"/>
      <c r="M241" s="64"/>
      <c r="N241" s="64"/>
      <c r="O241" s="64"/>
      <c r="P241" s="64"/>
      <c r="Q241" s="64"/>
      <c r="R241" s="64"/>
      <c r="S241" s="64"/>
      <c r="T241" s="64"/>
      <c r="U241" s="64"/>
      <c r="V241" s="64"/>
      <c r="W241" s="64"/>
      <c r="X241" s="64"/>
      <c r="Y241" s="64"/>
      <c r="Z241" s="64"/>
    </row>
    <row r="242" hidden="1" outlineLevel="1">
      <c r="A242" s="75" t="s">
        <v>1028</v>
      </c>
      <c r="B242" s="72" t="s">
        <v>1029</v>
      </c>
      <c r="C242" s="72" t="s">
        <v>954</v>
      </c>
      <c r="D242" s="72" t="s">
        <v>1030</v>
      </c>
      <c r="E242" s="72" t="s">
        <v>1011</v>
      </c>
      <c r="F242" s="81" t="s">
        <v>1031</v>
      </c>
      <c r="G242" s="74" t="s">
        <v>3</v>
      </c>
      <c r="H242" s="64"/>
      <c r="I242" s="64"/>
      <c r="J242" s="64"/>
      <c r="K242" s="64"/>
      <c r="L242" s="64"/>
      <c r="M242" s="64"/>
      <c r="N242" s="64"/>
      <c r="O242" s="64"/>
      <c r="P242" s="64"/>
      <c r="Q242" s="64"/>
      <c r="R242" s="64"/>
      <c r="S242" s="64"/>
      <c r="T242" s="64"/>
      <c r="U242" s="64"/>
      <c r="V242" s="64"/>
      <c r="W242" s="64"/>
      <c r="X242" s="64"/>
      <c r="Y242" s="64"/>
      <c r="Z242" s="64"/>
    </row>
    <row r="243" hidden="1" outlineLevel="1">
      <c r="A243" s="75" t="s">
        <v>1032</v>
      </c>
      <c r="B243" s="72" t="s">
        <v>1033</v>
      </c>
      <c r="C243" s="72" t="s">
        <v>954</v>
      </c>
      <c r="D243" s="72" t="s">
        <v>1034</v>
      </c>
      <c r="E243" s="72" t="s">
        <v>1035</v>
      </c>
      <c r="F243" s="64"/>
      <c r="G243" s="74" t="s">
        <v>3</v>
      </c>
      <c r="H243" s="64"/>
      <c r="I243" s="64"/>
      <c r="J243" s="64"/>
      <c r="K243" s="64"/>
      <c r="L243" s="64"/>
      <c r="M243" s="64"/>
      <c r="N243" s="64"/>
      <c r="O243" s="64"/>
      <c r="P243" s="64"/>
      <c r="Q243" s="64"/>
      <c r="R243" s="64"/>
      <c r="S243" s="64"/>
      <c r="T243" s="64"/>
      <c r="U243" s="64"/>
      <c r="V243" s="64"/>
      <c r="W243" s="64"/>
      <c r="X243" s="64"/>
      <c r="Y243" s="64"/>
      <c r="Z243" s="64"/>
    </row>
    <row r="244" hidden="1" outlineLevel="1">
      <c r="A244" s="75" t="s">
        <v>1036</v>
      </c>
      <c r="B244" s="72" t="s">
        <v>1037</v>
      </c>
      <c r="C244" s="72" t="s">
        <v>954</v>
      </c>
      <c r="D244" s="72" t="s">
        <v>1038</v>
      </c>
      <c r="E244" s="72" t="s">
        <v>1011</v>
      </c>
      <c r="F244" s="81" t="s">
        <v>1031</v>
      </c>
      <c r="G244" s="74" t="s">
        <v>3</v>
      </c>
      <c r="H244" s="64"/>
      <c r="I244" s="64"/>
      <c r="J244" s="64"/>
      <c r="K244" s="64"/>
      <c r="L244" s="64"/>
      <c r="M244" s="64"/>
      <c r="N244" s="64"/>
      <c r="O244" s="64"/>
      <c r="P244" s="64"/>
      <c r="Q244" s="64"/>
      <c r="R244" s="64"/>
      <c r="S244" s="64"/>
      <c r="T244" s="64"/>
      <c r="U244" s="64"/>
      <c r="V244" s="64"/>
      <c r="W244" s="64"/>
      <c r="X244" s="64"/>
      <c r="Y244" s="64"/>
      <c r="Z244" s="64"/>
    </row>
    <row r="245" hidden="1" outlineLevel="1">
      <c r="A245" s="75" t="s">
        <v>1039</v>
      </c>
      <c r="B245" s="72" t="s">
        <v>1040</v>
      </c>
      <c r="C245" s="72" t="s">
        <v>954</v>
      </c>
      <c r="D245" s="72" t="s">
        <v>1041</v>
      </c>
      <c r="E245" s="72" t="s">
        <v>1042</v>
      </c>
      <c r="F245" s="64"/>
      <c r="G245" s="74" t="s">
        <v>3</v>
      </c>
      <c r="H245" s="64"/>
      <c r="I245" s="64"/>
      <c r="J245" s="64"/>
      <c r="K245" s="64"/>
      <c r="L245" s="64"/>
      <c r="M245" s="64"/>
      <c r="N245" s="64"/>
      <c r="O245" s="64"/>
      <c r="P245" s="64"/>
      <c r="Q245" s="64"/>
      <c r="R245" s="64"/>
      <c r="S245" s="64"/>
      <c r="T245" s="64"/>
      <c r="U245" s="64"/>
      <c r="V245" s="64"/>
      <c r="W245" s="64"/>
      <c r="X245" s="64"/>
      <c r="Y245" s="64"/>
      <c r="Z245" s="64"/>
    </row>
    <row r="246" hidden="1" outlineLevel="1">
      <c r="A246" s="94"/>
      <c r="B246" s="95" t="s">
        <v>1043</v>
      </c>
      <c r="C246" s="95"/>
      <c r="D246" s="95"/>
      <c r="E246" s="95"/>
      <c r="F246" s="95"/>
      <c r="G246" s="95"/>
      <c r="H246" s="96"/>
      <c r="I246" s="96"/>
      <c r="J246" s="96"/>
      <c r="K246" s="96"/>
      <c r="L246" s="96"/>
      <c r="M246" s="96"/>
      <c r="N246" s="96"/>
      <c r="O246" s="96"/>
      <c r="P246" s="96"/>
      <c r="Q246" s="96"/>
      <c r="R246" s="96"/>
      <c r="S246" s="96"/>
      <c r="T246" s="96"/>
      <c r="U246" s="96"/>
      <c r="V246" s="96"/>
      <c r="W246" s="96"/>
      <c r="X246" s="96"/>
      <c r="Y246" s="96"/>
      <c r="Z246" s="96"/>
    </row>
    <row r="247" hidden="1" outlineLevel="1">
      <c r="A247" s="75" t="s">
        <v>1044</v>
      </c>
      <c r="B247" s="72" t="s">
        <v>1045</v>
      </c>
      <c r="C247" s="72" t="s">
        <v>954</v>
      </c>
      <c r="D247" s="72" t="s">
        <v>1046</v>
      </c>
      <c r="E247" s="72" t="s">
        <v>985</v>
      </c>
      <c r="F247" s="72" t="s">
        <v>1047</v>
      </c>
      <c r="G247" s="74" t="s">
        <v>3</v>
      </c>
      <c r="H247" s="64"/>
      <c r="I247" s="64"/>
      <c r="J247" s="64"/>
      <c r="K247" s="64"/>
      <c r="L247" s="64"/>
      <c r="M247" s="64"/>
      <c r="N247" s="64"/>
      <c r="O247" s="64"/>
      <c r="P247" s="64"/>
      <c r="Q247" s="64"/>
      <c r="R247" s="64"/>
      <c r="S247" s="64"/>
      <c r="T247" s="64"/>
      <c r="U247" s="64"/>
      <c r="V247" s="64"/>
      <c r="W247" s="64"/>
      <c r="X247" s="64"/>
      <c r="Y247" s="64"/>
      <c r="Z247" s="64"/>
    </row>
    <row r="248" hidden="1" outlineLevel="1">
      <c r="A248" s="75" t="s">
        <v>1048</v>
      </c>
      <c r="B248" s="72" t="s">
        <v>1049</v>
      </c>
      <c r="C248" s="72" t="s">
        <v>954</v>
      </c>
      <c r="D248" s="72" t="s">
        <v>1050</v>
      </c>
      <c r="E248" s="72" t="s">
        <v>1051</v>
      </c>
      <c r="F248" s="64"/>
      <c r="G248" s="74" t="s">
        <v>3</v>
      </c>
      <c r="H248" s="64"/>
      <c r="I248" s="64"/>
      <c r="J248" s="64"/>
      <c r="K248" s="64"/>
      <c r="L248" s="64"/>
      <c r="M248" s="64"/>
      <c r="N248" s="64"/>
      <c r="O248" s="64"/>
      <c r="P248" s="64"/>
      <c r="Q248" s="64"/>
      <c r="R248" s="64"/>
      <c r="S248" s="64"/>
      <c r="T248" s="64"/>
      <c r="U248" s="64"/>
      <c r="V248" s="64"/>
      <c r="W248" s="64"/>
      <c r="X248" s="64"/>
      <c r="Y248" s="64"/>
      <c r="Z248" s="64"/>
    </row>
    <row r="249" hidden="1" outlineLevel="1">
      <c r="A249" s="75" t="s">
        <v>1052</v>
      </c>
      <c r="B249" s="72" t="s">
        <v>1053</v>
      </c>
      <c r="C249" s="72" t="s">
        <v>954</v>
      </c>
      <c r="D249" s="72" t="s">
        <v>1054</v>
      </c>
      <c r="E249" s="72" t="s">
        <v>1055</v>
      </c>
      <c r="F249" s="72" t="s">
        <v>1056</v>
      </c>
      <c r="G249" s="74" t="s">
        <v>3</v>
      </c>
      <c r="H249" s="64"/>
      <c r="I249" s="64"/>
      <c r="J249" s="64"/>
      <c r="K249" s="64"/>
      <c r="L249" s="64"/>
      <c r="M249" s="64"/>
      <c r="N249" s="64"/>
      <c r="O249" s="64"/>
      <c r="P249" s="64"/>
      <c r="Q249" s="64"/>
      <c r="R249" s="64"/>
      <c r="S249" s="64"/>
      <c r="T249" s="64"/>
      <c r="U249" s="64"/>
      <c r="V249" s="64"/>
      <c r="W249" s="64"/>
      <c r="X249" s="64"/>
      <c r="Y249" s="64"/>
      <c r="Z249" s="64"/>
    </row>
    <row r="250" hidden="1" outlineLevel="1">
      <c r="A250" s="75" t="s">
        <v>1057</v>
      </c>
      <c r="B250" s="72" t="s">
        <v>1058</v>
      </c>
      <c r="C250" s="72" t="s">
        <v>954</v>
      </c>
      <c r="D250" s="72" t="s">
        <v>1059</v>
      </c>
      <c r="E250" s="72" t="s">
        <v>1060</v>
      </c>
      <c r="F250" s="72" t="s">
        <v>850</v>
      </c>
      <c r="G250" s="74" t="s">
        <v>3</v>
      </c>
      <c r="H250" s="64"/>
      <c r="I250" s="64"/>
      <c r="J250" s="64"/>
      <c r="K250" s="64"/>
      <c r="L250" s="64"/>
      <c r="M250" s="64"/>
      <c r="N250" s="64"/>
      <c r="O250" s="64"/>
      <c r="P250" s="64"/>
      <c r="Q250" s="64"/>
      <c r="R250" s="64"/>
      <c r="S250" s="64"/>
      <c r="T250" s="64"/>
      <c r="U250" s="64"/>
      <c r="V250" s="64"/>
      <c r="W250" s="64"/>
      <c r="X250" s="64"/>
      <c r="Y250" s="64"/>
      <c r="Z250" s="64"/>
    </row>
    <row r="251" hidden="1" outlineLevel="1">
      <c r="A251" s="75" t="s">
        <v>1061</v>
      </c>
      <c r="B251" s="72" t="s">
        <v>1062</v>
      </c>
      <c r="C251" s="72" t="s">
        <v>954</v>
      </c>
      <c r="D251" s="72" t="s">
        <v>1063</v>
      </c>
      <c r="E251" s="72" t="s">
        <v>1064</v>
      </c>
      <c r="F251" s="64"/>
      <c r="G251" s="74" t="s">
        <v>3</v>
      </c>
      <c r="H251" s="64"/>
      <c r="I251" s="64"/>
      <c r="J251" s="64"/>
      <c r="K251" s="64"/>
      <c r="L251" s="64"/>
      <c r="M251" s="64"/>
      <c r="N251" s="64"/>
      <c r="O251" s="64"/>
      <c r="P251" s="64"/>
      <c r="Q251" s="64"/>
      <c r="R251" s="64"/>
      <c r="S251" s="64"/>
      <c r="T251" s="64"/>
      <c r="U251" s="64"/>
      <c r="V251" s="64"/>
      <c r="W251" s="64"/>
      <c r="X251" s="64"/>
      <c r="Y251" s="64"/>
      <c r="Z251" s="64"/>
    </row>
    <row r="252" hidden="1" outlineLevel="1">
      <c r="A252" s="75" t="s">
        <v>1065</v>
      </c>
      <c r="B252" s="72" t="s">
        <v>1066</v>
      </c>
      <c r="C252" s="72" t="s">
        <v>954</v>
      </c>
      <c r="D252" s="72" t="s">
        <v>1067</v>
      </c>
      <c r="E252" s="72" t="s">
        <v>1068</v>
      </c>
      <c r="F252" s="72" t="s">
        <v>1056</v>
      </c>
      <c r="G252" s="74" t="s">
        <v>3</v>
      </c>
      <c r="H252" s="64"/>
      <c r="I252" s="64"/>
      <c r="J252" s="64"/>
      <c r="K252" s="64"/>
      <c r="L252" s="64"/>
      <c r="M252" s="64"/>
      <c r="N252" s="64"/>
      <c r="O252" s="64"/>
      <c r="P252" s="64"/>
      <c r="Q252" s="64"/>
      <c r="R252" s="64"/>
      <c r="S252" s="64"/>
      <c r="T252" s="64"/>
      <c r="U252" s="64"/>
      <c r="V252" s="64"/>
      <c r="W252" s="64"/>
      <c r="X252" s="64"/>
      <c r="Y252" s="64"/>
      <c r="Z252" s="64"/>
    </row>
    <row r="253" hidden="1" outlineLevel="1">
      <c r="A253" s="75" t="s">
        <v>1069</v>
      </c>
      <c r="B253" s="72" t="s">
        <v>1070</v>
      </c>
      <c r="C253" s="72" t="s">
        <v>954</v>
      </c>
      <c r="D253" s="72" t="s">
        <v>1071</v>
      </c>
      <c r="E253" s="72" t="s">
        <v>1060</v>
      </c>
      <c r="F253" s="72" t="s">
        <v>872</v>
      </c>
      <c r="G253" s="74" t="s">
        <v>3</v>
      </c>
      <c r="H253" s="64"/>
      <c r="I253" s="64"/>
      <c r="J253" s="64"/>
      <c r="K253" s="64"/>
      <c r="L253" s="64"/>
      <c r="M253" s="64"/>
      <c r="N253" s="64"/>
      <c r="O253" s="64"/>
      <c r="P253" s="64"/>
      <c r="Q253" s="64"/>
      <c r="R253" s="64"/>
      <c r="S253" s="64"/>
      <c r="T253" s="64"/>
      <c r="U253" s="64"/>
      <c r="V253" s="64"/>
      <c r="W253" s="64"/>
      <c r="X253" s="64"/>
      <c r="Y253" s="64"/>
      <c r="Z253" s="64"/>
    </row>
    <row r="254" hidden="1" outlineLevel="1">
      <c r="A254" s="75" t="s">
        <v>1072</v>
      </c>
      <c r="B254" s="72" t="s">
        <v>1073</v>
      </c>
      <c r="C254" s="72" t="s">
        <v>954</v>
      </c>
      <c r="D254" s="72" t="s">
        <v>1074</v>
      </c>
      <c r="E254" s="72" t="s">
        <v>1075</v>
      </c>
      <c r="F254" s="64"/>
      <c r="G254" s="74" t="s">
        <v>3</v>
      </c>
      <c r="H254" s="64"/>
      <c r="I254" s="64"/>
      <c r="J254" s="64"/>
      <c r="K254" s="64"/>
      <c r="L254" s="64"/>
      <c r="M254" s="64"/>
      <c r="N254" s="64"/>
      <c r="O254" s="64"/>
      <c r="P254" s="64"/>
      <c r="Q254" s="64"/>
      <c r="R254" s="64"/>
      <c r="S254" s="64"/>
      <c r="T254" s="64"/>
      <c r="U254" s="64"/>
      <c r="V254" s="64"/>
      <c r="W254" s="64"/>
      <c r="X254" s="64"/>
      <c r="Y254" s="64"/>
      <c r="Z254" s="64"/>
    </row>
    <row r="255" hidden="1" outlineLevel="1">
      <c r="A255" s="75" t="s">
        <v>1076</v>
      </c>
      <c r="B255" s="72" t="s">
        <v>1077</v>
      </c>
      <c r="C255" s="72" t="s">
        <v>954</v>
      </c>
      <c r="D255" s="72" t="s">
        <v>1078</v>
      </c>
      <c r="E255" s="72" t="s">
        <v>1079</v>
      </c>
      <c r="F255" s="64"/>
      <c r="G255" s="74" t="s">
        <v>3</v>
      </c>
      <c r="H255" s="64"/>
      <c r="I255" s="64"/>
      <c r="J255" s="64"/>
      <c r="K255" s="64"/>
      <c r="L255" s="64"/>
      <c r="M255" s="64"/>
      <c r="N255" s="64"/>
      <c r="O255" s="64"/>
      <c r="P255" s="64"/>
      <c r="Q255" s="64"/>
      <c r="R255" s="64"/>
      <c r="S255" s="64"/>
      <c r="T255" s="64"/>
      <c r="U255" s="64"/>
      <c r="V255" s="64"/>
      <c r="W255" s="64"/>
      <c r="X255" s="64"/>
      <c r="Y255" s="64"/>
      <c r="Z255" s="64"/>
    </row>
    <row r="256" hidden="1" outlineLevel="1">
      <c r="A256" s="75" t="s">
        <v>1080</v>
      </c>
      <c r="B256" s="72" t="s">
        <v>1081</v>
      </c>
      <c r="C256" s="72" t="s">
        <v>954</v>
      </c>
      <c r="D256" s="72" t="s">
        <v>1082</v>
      </c>
      <c r="E256" s="72" t="s">
        <v>997</v>
      </c>
      <c r="F256" s="72" t="s">
        <v>998</v>
      </c>
      <c r="G256" s="74" t="s">
        <v>3</v>
      </c>
      <c r="H256" s="64"/>
      <c r="I256" s="64"/>
      <c r="J256" s="64"/>
      <c r="K256" s="64"/>
      <c r="L256" s="64"/>
      <c r="M256" s="64"/>
      <c r="N256" s="64"/>
      <c r="O256" s="64"/>
      <c r="P256" s="64"/>
      <c r="Q256" s="64"/>
      <c r="R256" s="64"/>
      <c r="S256" s="64"/>
      <c r="T256" s="64"/>
      <c r="U256" s="64"/>
      <c r="V256" s="64"/>
      <c r="W256" s="64"/>
      <c r="X256" s="64"/>
      <c r="Y256" s="64"/>
      <c r="Z256" s="64"/>
    </row>
    <row r="257" hidden="1" outlineLevel="1">
      <c r="A257" s="75" t="s">
        <v>1083</v>
      </c>
      <c r="B257" s="72" t="s">
        <v>1084</v>
      </c>
      <c r="C257" s="72" t="s">
        <v>954</v>
      </c>
      <c r="D257" s="72" t="s">
        <v>1085</v>
      </c>
      <c r="E257" s="72" t="s">
        <v>1086</v>
      </c>
      <c r="F257" s="64"/>
      <c r="G257" s="74" t="s">
        <v>3</v>
      </c>
      <c r="H257" s="64"/>
      <c r="I257" s="64"/>
      <c r="J257" s="64"/>
      <c r="K257" s="64"/>
      <c r="L257" s="64"/>
      <c r="M257" s="64"/>
      <c r="N257" s="64"/>
      <c r="O257" s="64"/>
      <c r="P257" s="64"/>
      <c r="Q257" s="64"/>
      <c r="R257" s="64"/>
      <c r="S257" s="64"/>
      <c r="T257" s="64"/>
      <c r="U257" s="64"/>
      <c r="V257" s="64"/>
      <c r="W257" s="64"/>
      <c r="X257" s="64"/>
      <c r="Y257" s="64"/>
      <c r="Z257" s="64"/>
    </row>
    <row r="258" hidden="1" outlineLevel="1">
      <c r="A258" s="75" t="s">
        <v>1087</v>
      </c>
      <c r="B258" s="72" t="s">
        <v>1088</v>
      </c>
      <c r="C258" s="72" t="s">
        <v>954</v>
      </c>
      <c r="D258" s="72" t="s">
        <v>1089</v>
      </c>
      <c r="E258" s="72" t="s">
        <v>1090</v>
      </c>
      <c r="F258" s="64"/>
      <c r="G258" s="74" t="s">
        <v>3</v>
      </c>
      <c r="H258" s="64"/>
      <c r="I258" s="64"/>
      <c r="J258" s="64"/>
      <c r="K258" s="64"/>
      <c r="L258" s="64"/>
      <c r="M258" s="64"/>
      <c r="N258" s="64"/>
      <c r="O258" s="64"/>
      <c r="P258" s="64"/>
      <c r="Q258" s="64"/>
      <c r="R258" s="64"/>
      <c r="S258" s="64"/>
      <c r="T258" s="64"/>
      <c r="U258" s="64"/>
      <c r="V258" s="64"/>
      <c r="W258" s="64"/>
      <c r="X258" s="64"/>
      <c r="Y258" s="64"/>
      <c r="Z258" s="64"/>
    </row>
    <row r="259" hidden="1" outlineLevel="1">
      <c r="A259" s="75" t="s">
        <v>1091</v>
      </c>
      <c r="B259" s="72" t="s">
        <v>1092</v>
      </c>
      <c r="C259" s="72" t="s">
        <v>954</v>
      </c>
      <c r="D259" s="72" t="s">
        <v>1093</v>
      </c>
      <c r="E259" s="72" t="s">
        <v>1094</v>
      </c>
      <c r="F259" s="72" t="s">
        <v>1095</v>
      </c>
      <c r="G259" s="74" t="s">
        <v>3</v>
      </c>
      <c r="H259" s="64"/>
      <c r="I259" s="64"/>
      <c r="J259" s="64"/>
      <c r="K259" s="64"/>
      <c r="L259" s="64"/>
      <c r="M259" s="64"/>
      <c r="N259" s="64"/>
      <c r="O259" s="64"/>
      <c r="P259" s="64"/>
      <c r="Q259" s="64"/>
      <c r="R259" s="64"/>
      <c r="S259" s="64"/>
      <c r="T259" s="64"/>
      <c r="U259" s="64"/>
      <c r="V259" s="64"/>
      <c r="W259" s="64"/>
      <c r="X259" s="64"/>
      <c r="Y259" s="64"/>
      <c r="Z259" s="64"/>
    </row>
    <row r="260" hidden="1" outlineLevel="1">
      <c r="A260" s="75" t="s">
        <v>1096</v>
      </c>
      <c r="B260" s="72" t="s">
        <v>1097</v>
      </c>
      <c r="C260" s="72" t="s">
        <v>954</v>
      </c>
      <c r="D260" s="72" t="s">
        <v>1098</v>
      </c>
      <c r="E260" s="72" t="s">
        <v>1099</v>
      </c>
      <c r="F260" s="64"/>
      <c r="G260" s="74" t="s">
        <v>3</v>
      </c>
      <c r="H260" s="64"/>
      <c r="I260" s="64"/>
      <c r="J260" s="64"/>
      <c r="K260" s="64"/>
      <c r="L260" s="64"/>
      <c r="M260" s="64"/>
      <c r="N260" s="64"/>
      <c r="O260" s="64"/>
      <c r="P260" s="64"/>
      <c r="Q260" s="64"/>
      <c r="R260" s="64"/>
      <c r="S260" s="64"/>
      <c r="T260" s="64"/>
      <c r="U260" s="64"/>
      <c r="V260" s="64"/>
      <c r="W260" s="64"/>
      <c r="X260" s="64"/>
      <c r="Y260" s="64"/>
      <c r="Z260" s="64"/>
    </row>
    <row r="261" hidden="1" outlineLevel="1">
      <c r="A261" s="97"/>
      <c r="B261" s="92" t="s">
        <v>1100</v>
      </c>
      <c r="C261" s="98"/>
      <c r="D261" s="98"/>
      <c r="E261" s="98"/>
      <c r="F261" s="98"/>
      <c r="G261" s="98"/>
      <c r="H261" s="99"/>
      <c r="I261" s="99"/>
      <c r="J261" s="99"/>
      <c r="K261" s="99"/>
      <c r="L261" s="99"/>
      <c r="M261" s="99"/>
      <c r="N261" s="99"/>
      <c r="O261" s="99"/>
      <c r="P261" s="99"/>
      <c r="Q261" s="99"/>
      <c r="R261" s="99"/>
      <c r="S261" s="99"/>
      <c r="T261" s="99"/>
      <c r="U261" s="99"/>
      <c r="V261" s="99"/>
      <c r="W261" s="99"/>
      <c r="X261" s="99"/>
      <c r="Y261" s="99"/>
      <c r="Z261" s="99"/>
    </row>
    <row r="262" hidden="1" outlineLevel="1">
      <c r="A262" s="75" t="s">
        <v>1101</v>
      </c>
      <c r="B262" s="72" t="s">
        <v>1102</v>
      </c>
      <c r="C262" s="72" t="s">
        <v>954</v>
      </c>
      <c r="D262" s="72" t="s">
        <v>1103</v>
      </c>
      <c r="E262" s="72" t="s">
        <v>1104</v>
      </c>
      <c r="F262" s="72" t="s">
        <v>1105</v>
      </c>
      <c r="G262" s="74" t="s">
        <v>3</v>
      </c>
      <c r="H262" s="64"/>
      <c r="I262" s="64"/>
      <c r="J262" s="64"/>
      <c r="K262" s="64"/>
      <c r="L262" s="64"/>
      <c r="M262" s="64"/>
      <c r="N262" s="64"/>
      <c r="O262" s="64"/>
      <c r="P262" s="64"/>
      <c r="Q262" s="64"/>
      <c r="R262" s="64"/>
      <c r="S262" s="64"/>
      <c r="T262" s="64"/>
      <c r="U262" s="64"/>
      <c r="V262" s="64"/>
      <c r="W262" s="64"/>
      <c r="X262" s="64"/>
      <c r="Y262" s="64"/>
      <c r="Z262" s="64"/>
    </row>
    <row r="263" hidden="1" outlineLevel="1">
      <c r="A263" s="75" t="s">
        <v>1106</v>
      </c>
      <c r="B263" s="72" t="s">
        <v>1107</v>
      </c>
      <c r="C263" s="72" t="s">
        <v>954</v>
      </c>
      <c r="D263" s="72" t="s">
        <v>1108</v>
      </c>
      <c r="E263" s="72" t="s">
        <v>1109</v>
      </c>
      <c r="F263" s="64"/>
      <c r="G263" s="74" t="s">
        <v>3</v>
      </c>
      <c r="H263" s="64"/>
      <c r="I263" s="64"/>
      <c r="J263" s="64"/>
      <c r="K263" s="64"/>
      <c r="L263" s="64"/>
      <c r="M263" s="64"/>
      <c r="N263" s="64"/>
      <c r="O263" s="64"/>
      <c r="P263" s="64"/>
      <c r="Q263" s="64"/>
      <c r="R263" s="64"/>
      <c r="S263" s="64"/>
      <c r="T263" s="64"/>
      <c r="U263" s="64"/>
      <c r="V263" s="64"/>
      <c r="W263" s="64"/>
      <c r="X263" s="64"/>
      <c r="Y263" s="64"/>
      <c r="Z263" s="64"/>
    </row>
    <row r="264" hidden="1" outlineLevel="1">
      <c r="A264" s="75" t="s">
        <v>1110</v>
      </c>
      <c r="B264" s="72" t="s">
        <v>1111</v>
      </c>
      <c r="C264" s="72" t="s">
        <v>954</v>
      </c>
      <c r="D264" s="72" t="s">
        <v>1112</v>
      </c>
      <c r="E264" s="72" t="s">
        <v>1113</v>
      </c>
      <c r="F264" s="64"/>
      <c r="G264" s="74" t="s">
        <v>3</v>
      </c>
      <c r="H264" s="64"/>
      <c r="I264" s="64"/>
      <c r="J264" s="64"/>
      <c r="K264" s="64"/>
      <c r="L264" s="64"/>
      <c r="M264" s="64"/>
      <c r="N264" s="64"/>
      <c r="O264" s="64"/>
      <c r="P264" s="64"/>
      <c r="Q264" s="64"/>
      <c r="R264" s="64"/>
      <c r="S264" s="64"/>
      <c r="T264" s="64"/>
      <c r="U264" s="64"/>
      <c r="V264" s="64"/>
      <c r="W264" s="64"/>
      <c r="X264" s="64"/>
      <c r="Y264" s="64"/>
      <c r="Z264" s="64"/>
    </row>
    <row r="265" hidden="1" outlineLevel="1">
      <c r="A265" s="75"/>
      <c r="B265" s="93" t="s">
        <v>1114</v>
      </c>
      <c r="C265" s="83"/>
      <c r="D265" s="83"/>
      <c r="E265" s="83"/>
      <c r="F265" s="83"/>
      <c r="G265" s="83"/>
      <c r="H265" s="64"/>
      <c r="I265" s="64"/>
      <c r="J265" s="64"/>
      <c r="K265" s="64"/>
      <c r="L265" s="64"/>
      <c r="M265" s="64"/>
      <c r="N265" s="64"/>
      <c r="O265" s="64"/>
      <c r="P265" s="64"/>
      <c r="Q265" s="64"/>
      <c r="R265" s="64"/>
      <c r="S265" s="64"/>
      <c r="T265" s="64"/>
      <c r="U265" s="64"/>
      <c r="V265" s="64"/>
      <c r="W265" s="64"/>
      <c r="X265" s="64"/>
      <c r="Y265" s="64"/>
      <c r="Z265" s="64"/>
    </row>
    <row r="266" hidden="1" outlineLevel="1">
      <c r="A266" s="75" t="s">
        <v>1115</v>
      </c>
      <c r="B266" s="72" t="s">
        <v>1116</v>
      </c>
      <c r="C266" s="72" t="s">
        <v>1117</v>
      </c>
      <c r="D266" s="72" t="s">
        <v>1118</v>
      </c>
      <c r="E266" s="72" t="s">
        <v>1119</v>
      </c>
      <c r="F266" s="64"/>
      <c r="G266" s="74" t="s">
        <v>3</v>
      </c>
      <c r="H266" s="64"/>
      <c r="I266" s="64"/>
      <c r="J266" s="64"/>
      <c r="K266" s="64"/>
      <c r="L266" s="64"/>
      <c r="M266" s="64"/>
      <c r="N266" s="64"/>
      <c r="O266" s="64"/>
      <c r="P266" s="64"/>
      <c r="Q266" s="64"/>
      <c r="R266" s="64"/>
      <c r="S266" s="64"/>
      <c r="T266" s="64"/>
      <c r="U266" s="64"/>
      <c r="V266" s="64"/>
      <c r="W266" s="64"/>
      <c r="X266" s="64"/>
      <c r="Y266" s="64"/>
      <c r="Z266" s="64"/>
    </row>
    <row r="267" hidden="1" outlineLevel="1">
      <c r="A267" s="75" t="s">
        <v>1120</v>
      </c>
      <c r="B267" s="72" t="s">
        <v>1121</v>
      </c>
      <c r="C267" s="72" t="s">
        <v>1122</v>
      </c>
      <c r="D267" s="72" t="s">
        <v>1123</v>
      </c>
      <c r="E267" s="72" t="s">
        <v>1124</v>
      </c>
      <c r="F267" s="64"/>
      <c r="G267" s="74" t="s">
        <v>3</v>
      </c>
      <c r="H267" s="64"/>
      <c r="I267" s="64"/>
      <c r="J267" s="64"/>
      <c r="K267" s="64"/>
      <c r="L267" s="64"/>
      <c r="M267" s="64"/>
      <c r="N267" s="64"/>
      <c r="O267" s="64"/>
      <c r="P267" s="64"/>
      <c r="Q267" s="64"/>
      <c r="R267" s="64"/>
      <c r="S267" s="64"/>
      <c r="T267" s="64"/>
      <c r="U267" s="64"/>
      <c r="V267" s="64"/>
      <c r="W267" s="64"/>
      <c r="X267" s="64"/>
      <c r="Y267" s="64"/>
      <c r="Z267" s="64"/>
    </row>
    <row r="268" hidden="1" outlineLevel="1">
      <c r="A268" s="75" t="s">
        <v>1125</v>
      </c>
      <c r="B268" s="72" t="s">
        <v>1126</v>
      </c>
      <c r="C268" s="72" t="s">
        <v>1122</v>
      </c>
      <c r="D268" s="72" t="s">
        <v>1127</v>
      </c>
      <c r="E268" s="72" t="s">
        <v>1128</v>
      </c>
      <c r="F268" s="64"/>
      <c r="G268" s="74" t="s">
        <v>3</v>
      </c>
      <c r="H268" s="64"/>
      <c r="I268" s="64"/>
      <c r="J268" s="64"/>
      <c r="K268" s="64"/>
      <c r="L268" s="64"/>
      <c r="M268" s="64"/>
      <c r="N268" s="64"/>
      <c r="O268" s="64"/>
      <c r="P268" s="64"/>
      <c r="Q268" s="64"/>
      <c r="R268" s="64"/>
      <c r="S268" s="64"/>
      <c r="T268" s="64"/>
      <c r="U268" s="64"/>
      <c r="V268" s="64"/>
      <c r="W268" s="64"/>
      <c r="X268" s="64"/>
      <c r="Y268" s="64"/>
      <c r="Z268" s="64"/>
    </row>
    <row r="269" hidden="1" outlineLevel="1">
      <c r="A269" s="75" t="s">
        <v>1129</v>
      </c>
      <c r="B269" s="72" t="s">
        <v>1130</v>
      </c>
      <c r="C269" s="72" t="s">
        <v>1131</v>
      </c>
      <c r="D269" s="72" t="s">
        <v>1132</v>
      </c>
      <c r="E269" s="72" t="s">
        <v>1133</v>
      </c>
      <c r="F269" s="72" t="s">
        <v>1134</v>
      </c>
      <c r="G269" s="91" t="s">
        <v>3</v>
      </c>
      <c r="H269" s="64"/>
      <c r="I269" s="64"/>
      <c r="J269" s="64"/>
      <c r="K269" s="64"/>
      <c r="L269" s="64"/>
      <c r="M269" s="64"/>
      <c r="N269" s="64"/>
      <c r="O269" s="64"/>
      <c r="P269" s="64"/>
      <c r="Q269" s="64"/>
      <c r="R269" s="64"/>
      <c r="S269" s="64"/>
      <c r="T269" s="64"/>
      <c r="U269" s="64"/>
      <c r="V269" s="64"/>
      <c r="W269" s="64"/>
      <c r="X269" s="64"/>
      <c r="Y269" s="64"/>
      <c r="Z269" s="64"/>
    </row>
    <row r="270" hidden="1" outlineLevel="1">
      <c r="A270" s="100"/>
      <c r="B270" s="101" t="s">
        <v>1135</v>
      </c>
      <c r="C270" s="102"/>
      <c r="D270" s="102"/>
      <c r="E270" s="102"/>
      <c r="F270" s="102"/>
      <c r="G270" s="102"/>
      <c r="H270" s="103"/>
      <c r="I270" s="103"/>
      <c r="J270" s="103"/>
      <c r="K270" s="103"/>
      <c r="L270" s="103"/>
      <c r="M270" s="103"/>
      <c r="N270" s="103"/>
      <c r="O270" s="103"/>
      <c r="P270" s="103"/>
      <c r="Q270" s="103"/>
      <c r="R270" s="103"/>
      <c r="S270" s="103"/>
      <c r="T270" s="103"/>
      <c r="U270" s="103"/>
      <c r="V270" s="103"/>
      <c r="W270" s="103"/>
      <c r="X270" s="103"/>
      <c r="Y270" s="103"/>
      <c r="Z270" s="103"/>
    </row>
    <row r="271" hidden="1" outlineLevel="1">
      <c r="A271" s="75" t="s">
        <v>1136</v>
      </c>
      <c r="B271" s="72" t="s">
        <v>1137</v>
      </c>
      <c r="C271" s="72" t="s">
        <v>1138</v>
      </c>
      <c r="D271" s="72" t="s">
        <v>1139</v>
      </c>
      <c r="E271" s="72" t="s">
        <v>1140</v>
      </c>
      <c r="F271" s="64"/>
      <c r="G271" s="74" t="s">
        <v>3</v>
      </c>
      <c r="H271" s="64"/>
      <c r="I271" s="64"/>
      <c r="J271" s="64"/>
      <c r="K271" s="64"/>
      <c r="L271" s="64"/>
      <c r="M271" s="64"/>
      <c r="N271" s="64"/>
      <c r="O271" s="64"/>
      <c r="P271" s="64"/>
      <c r="Q271" s="64"/>
      <c r="R271" s="64"/>
      <c r="S271" s="64"/>
      <c r="T271" s="64"/>
      <c r="U271" s="64"/>
      <c r="V271" s="64"/>
      <c r="W271" s="64"/>
      <c r="X271" s="64"/>
      <c r="Y271" s="64"/>
      <c r="Z271" s="64"/>
    </row>
    <row r="272" hidden="1" outlineLevel="1">
      <c r="A272" s="75" t="s">
        <v>1141</v>
      </c>
      <c r="B272" s="72" t="s">
        <v>1142</v>
      </c>
      <c r="C272" s="72" t="s">
        <v>1143</v>
      </c>
      <c r="D272" s="72" t="s">
        <v>1144</v>
      </c>
      <c r="E272" s="72" t="s">
        <v>1145</v>
      </c>
      <c r="F272" s="64"/>
      <c r="G272" s="74" t="s">
        <v>3</v>
      </c>
      <c r="H272" s="64"/>
      <c r="I272" s="64"/>
      <c r="J272" s="64"/>
      <c r="K272" s="64"/>
      <c r="L272" s="64"/>
      <c r="M272" s="64"/>
      <c r="N272" s="64"/>
      <c r="O272" s="64"/>
      <c r="P272" s="64"/>
      <c r="Q272" s="64"/>
      <c r="R272" s="64"/>
      <c r="S272" s="64"/>
      <c r="T272" s="64"/>
      <c r="U272" s="64"/>
      <c r="V272" s="64"/>
      <c r="W272" s="64"/>
      <c r="X272" s="64"/>
      <c r="Y272" s="64"/>
      <c r="Z272" s="64"/>
    </row>
    <row r="273" hidden="1" outlineLevel="1">
      <c r="A273" s="100"/>
      <c r="B273" s="101" t="s">
        <v>1146</v>
      </c>
      <c r="C273" s="102"/>
      <c r="D273" s="102"/>
      <c r="E273" s="102"/>
      <c r="F273" s="102"/>
      <c r="G273" s="102"/>
      <c r="H273" s="103"/>
      <c r="I273" s="103"/>
      <c r="J273" s="103"/>
      <c r="K273" s="103"/>
      <c r="L273" s="103"/>
      <c r="M273" s="103"/>
      <c r="N273" s="103"/>
      <c r="O273" s="103"/>
      <c r="P273" s="103"/>
      <c r="Q273" s="103"/>
      <c r="R273" s="103"/>
      <c r="S273" s="103"/>
      <c r="T273" s="103"/>
      <c r="U273" s="103"/>
      <c r="V273" s="103"/>
      <c r="W273" s="103"/>
      <c r="X273" s="103"/>
      <c r="Y273" s="103"/>
      <c r="Z273" s="103"/>
    </row>
    <row r="274" hidden="1" outlineLevel="1">
      <c r="A274" s="75" t="s">
        <v>1147</v>
      </c>
      <c r="B274" s="72" t="s">
        <v>1148</v>
      </c>
      <c r="C274" s="72" t="s">
        <v>1149</v>
      </c>
      <c r="D274" s="72" t="s">
        <v>1150</v>
      </c>
      <c r="E274" s="72" t="s">
        <v>1151</v>
      </c>
      <c r="F274" s="64"/>
      <c r="G274" s="74" t="s">
        <v>3</v>
      </c>
      <c r="H274" s="64"/>
      <c r="I274" s="64"/>
      <c r="J274" s="64"/>
      <c r="K274" s="64"/>
      <c r="L274" s="64"/>
      <c r="M274" s="64"/>
      <c r="N274" s="64"/>
      <c r="O274" s="64"/>
      <c r="P274" s="64"/>
      <c r="Q274" s="64"/>
      <c r="R274" s="64"/>
      <c r="S274" s="64"/>
      <c r="T274" s="64"/>
      <c r="U274" s="64"/>
      <c r="V274" s="64"/>
      <c r="W274" s="64"/>
      <c r="X274" s="64"/>
      <c r="Y274" s="64"/>
      <c r="Z274" s="64"/>
    </row>
    <row r="275" hidden="1" outlineLevel="1">
      <c r="A275" s="75" t="s">
        <v>1152</v>
      </c>
      <c r="B275" s="72" t="s">
        <v>1153</v>
      </c>
      <c r="C275" s="72" t="s">
        <v>1154</v>
      </c>
      <c r="D275" s="72" t="s">
        <v>1155</v>
      </c>
      <c r="E275" s="72" t="s">
        <v>1156</v>
      </c>
      <c r="F275" s="64"/>
      <c r="G275" s="74" t="s">
        <v>3</v>
      </c>
      <c r="H275" s="64"/>
      <c r="I275" s="64"/>
      <c r="J275" s="64"/>
      <c r="K275" s="64"/>
      <c r="L275" s="64"/>
      <c r="M275" s="64"/>
      <c r="N275" s="64"/>
      <c r="O275" s="64"/>
      <c r="P275" s="64"/>
      <c r="Q275" s="64"/>
      <c r="R275" s="64"/>
      <c r="S275" s="64"/>
      <c r="T275" s="64"/>
      <c r="U275" s="64"/>
      <c r="V275" s="64"/>
      <c r="W275" s="64"/>
      <c r="X275" s="64"/>
      <c r="Y275" s="64"/>
      <c r="Z275" s="64"/>
    </row>
    <row r="276" hidden="1" outlineLevel="1">
      <c r="A276" s="75" t="s">
        <v>1157</v>
      </c>
      <c r="B276" s="72" t="s">
        <v>1158</v>
      </c>
      <c r="C276" s="72" t="s">
        <v>1154</v>
      </c>
      <c r="D276" s="72" t="s">
        <v>1159</v>
      </c>
      <c r="E276" s="72" t="s">
        <v>1160</v>
      </c>
      <c r="F276" s="64"/>
      <c r="G276" s="74" t="s">
        <v>3</v>
      </c>
      <c r="H276" s="64"/>
      <c r="I276" s="64"/>
      <c r="J276" s="64"/>
      <c r="K276" s="64"/>
      <c r="L276" s="64"/>
      <c r="M276" s="64"/>
      <c r="N276" s="64"/>
      <c r="O276" s="64"/>
      <c r="P276" s="64"/>
      <c r="Q276" s="64"/>
      <c r="R276" s="64"/>
      <c r="S276" s="64"/>
      <c r="T276" s="64"/>
      <c r="U276" s="64"/>
      <c r="V276" s="64"/>
      <c r="W276" s="64"/>
      <c r="X276" s="64"/>
      <c r="Y276" s="64"/>
      <c r="Z276" s="64"/>
    </row>
    <row r="277" hidden="1" outlineLevel="1">
      <c r="A277" s="75" t="s">
        <v>1161</v>
      </c>
      <c r="B277" s="72" t="s">
        <v>1162</v>
      </c>
      <c r="C277" s="72" t="s">
        <v>1154</v>
      </c>
      <c r="D277" s="72" t="s">
        <v>1163</v>
      </c>
      <c r="E277" s="72" t="s">
        <v>1164</v>
      </c>
      <c r="F277" s="64"/>
      <c r="G277" s="74" t="s">
        <v>3</v>
      </c>
      <c r="H277" s="64"/>
      <c r="I277" s="64"/>
      <c r="J277" s="64"/>
      <c r="K277" s="64"/>
      <c r="L277" s="64"/>
      <c r="M277" s="64"/>
      <c r="N277" s="64"/>
      <c r="O277" s="64"/>
      <c r="P277" s="64"/>
      <c r="Q277" s="64"/>
      <c r="R277" s="64"/>
      <c r="S277" s="64"/>
      <c r="T277" s="64"/>
      <c r="U277" s="64"/>
      <c r="V277" s="64"/>
      <c r="W277" s="64"/>
      <c r="X277" s="64"/>
      <c r="Y277" s="64"/>
      <c r="Z277" s="64"/>
    </row>
    <row r="278" hidden="1" outlineLevel="1">
      <c r="A278" s="75" t="s">
        <v>1165</v>
      </c>
      <c r="B278" s="72" t="s">
        <v>1166</v>
      </c>
      <c r="C278" s="72" t="s">
        <v>1154</v>
      </c>
      <c r="D278" s="72" t="s">
        <v>1167</v>
      </c>
      <c r="E278" s="72" t="s">
        <v>1168</v>
      </c>
      <c r="F278" s="64"/>
      <c r="G278" s="74" t="s">
        <v>3</v>
      </c>
      <c r="H278" s="64"/>
      <c r="I278" s="64"/>
      <c r="J278" s="64"/>
      <c r="K278" s="64"/>
      <c r="L278" s="64"/>
      <c r="M278" s="64"/>
      <c r="N278" s="64"/>
      <c r="O278" s="64"/>
      <c r="P278" s="64"/>
      <c r="Q278" s="64"/>
      <c r="R278" s="64"/>
      <c r="S278" s="64"/>
      <c r="T278" s="64"/>
      <c r="U278" s="64"/>
      <c r="V278" s="64"/>
      <c r="W278" s="64"/>
      <c r="X278" s="64"/>
      <c r="Y278" s="64"/>
      <c r="Z278" s="64"/>
    </row>
    <row r="279" hidden="1" outlineLevel="1">
      <c r="A279" s="75" t="s">
        <v>1169</v>
      </c>
      <c r="B279" s="72" t="s">
        <v>1170</v>
      </c>
      <c r="C279" s="72" t="s">
        <v>1171</v>
      </c>
      <c r="D279" s="72" t="s">
        <v>1172</v>
      </c>
      <c r="E279" s="72" t="s">
        <v>1173</v>
      </c>
      <c r="F279" s="64"/>
      <c r="G279" s="74" t="s">
        <v>3</v>
      </c>
      <c r="H279" s="64"/>
      <c r="I279" s="64"/>
      <c r="J279" s="64"/>
      <c r="K279" s="64"/>
      <c r="L279" s="64"/>
      <c r="M279" s="64"/>
      <c r="N279" s="64"/>
      <c r="O279" s="64"/>
      <c r="P279" s="64"/>
      <c r="Q279" s="64"/>
      <c r="R279" s="64"/>
      <c r="S279" s="64"/>
      <c r="T279" s="64"/>
      <c r="U279" s="64"/>
      <c r="V279" s="64"/>
      <c r="W279" s="64"/>
      <c r="X279" s="64"/>
      <c r="Y279" s="64"/>
      <c r="Z279" s="64"/>
    </row>
    <row r="280">
      <c r="A280" s="66"/>
      <c r="B280" s="67" t="s">
        <v>1174</v>
      </c>
      <c r="C280" s="66"/>
      <c r="D280" s="66"/>
      <c r="E280" s="66"/>
      <c r="F280" s="68"/>
      <c r="G280" s="68"/>
      <c r="H280" s="64"/>
      <c r="I280" s="64"/>
      <c r="J280" s="64"/>
      <c r="K280" s="64"/>
      <c r="L280" s="64"/>
      <c r="M280" s="64"/>
      <c r="N280" s="64"/>
      <c r="O280" s="64"/>
      <c r="P280" s="64"/>
      <c r="Q280" s="64"/>
      <c r="R280" s="64"/>
      <c r="S280" s="64"/>
      <c r="T280" s="64"/>
      <c r="U280" s="64"/>
      <c r="V280" s="64"/>
      <c r="W280" s="64"/>
      <c r="X280" s="64"/>
      <c r="Y280" s="64"/>
      <c r="Z280" s="64"/>
    </row>
    <row r="281">
      <c r="A281" s="104"/>
      <c r="B281" s="105" t="s">
        <v>1175</v>
      </c>
      <c r="C281" s="104"/>
      <c r="D281" s="104"/>
      <c r="E281" s="104"/>
      <c r="F281" s="69"/>
      <c r="G281" s="69"/>
      <c r="H281" s="64"/>
      <c r="I281" s="64"/>
      <c r="J281" s="64"/>
      <c r="K281" s="64"/>
      <c r="L281" s="64"/>
      <c r="M281" s="64"/>
      <c r="N281" s="64"/>
      <c r="O281" s="64"/>
      <c r="P281" s="64"/>
      <c r="Q281" s="64"/>
      <c r="R281" s="64"/>
      <c r="S281" s="64"/>
      <c r="T281" s="64"/>
      <c r="U281" s="64"/>
      <c r="V281" s="64"/>
      <c r="W281" s="64"/>
      <c r="X281" s="64"/>
      <c r="Y281" s="64"/>
      <c r="Z281" s="64"/>
    </row>
    <row r="282" outlineLevel="1">
      <c r="A282" s="72" t="s">
        <v>389</v>
      </c>
      <c r="B282" s="72" t="s">
        <v>1176</v>
      </c>
      <c r="C282" s="72" t="s">
        <v>1177</v>
      </c>
      <c r="D282" s="72" t="s">
        <v>1178</v>
      </c>
      <c r="E282" s="72" t="s">
        <v>1179</v>
      </c>
      <c r="F282" s="80"/>
      <c r="G282" s="74" t="s">
        <v>3</v>
      </c>
      <c r="H282" s="64"/>
      <c r="I282" s="64"/>
      <c r="J282" s="64"/>
      <c r="K282" s="64"/>
      <c r="L282" s="64"/>
      <c r="M282" s="64"/>
      <c r="N282" s="64"/>
      <c r="O282" s="64"/>
      <c r="P282" s="64"/>
      <c r="Q282" s="64"/>
      <c r="R282" s="64"/>
      <c r="S282" s="64"/>
      <c r="T282" s="64"/>
      <c r="U282" s="64"/>
      <c r="V282" s="64"/>
      <c r="W282" s="64"/>
      <c r="X282" s="64"/>
      <c r="Y282" s="64"/>
      <c r="Z282" s="64"/>
    </row>
    <row r="283" outlineLevel="1">
      <c r="A283" s="72" t="s">
        <v>394</v>
      </c>
      <c r="B283" s="72" t="s">
        <v>1180</v>
      </c>
      <c r="C283" s="72" t="s">
        <v>1181</v>
      </c>
      <c r="D283" s="72" t="s">
        <v>1182</v>
      </c>
      <c r="E283" s="75" t="s">
        <v>1183</v>
      </c>
      <c r="F283" s="80"/>
      <c r="G283" s="74" t="s">
        <v>3</v>
      </c>
      <c r="H283" s="64"/>
      <c r="I283" s="64"/>
      <c r="J283" s="64"/>
      <c r="K283" s="64"/>
      <c r="L283" s="64"/>
      <c r="M283" s="64"/>
      <c r="N283" s="64"/>
      <c r="O283" s="64"/>
      <c r="P283" s="64"/>
      <c r="Q283" s="64"/>
      <c r="R283" s="64"/>
      <c r="S283" s="64"/>
      <c r="T283" s="64"/>
      <c r="U283" s="64"/>
      <c r="V283" s="64"/>
      <c r="W283" s="64"/>
      <c r="X283" s="64"/>
      <c r="Y283" s="64"/>
      <c r="Z283" s="64"/>
    </row>
    <row r="284" outlineLevel="1">
      <c r="A284" s="72"/>
      <c r="B284" s="75" t="s">
        <v>1184</v>
      </c>
      <c r="C284" s="72"/>
      <c r="D284" s="75" t="s">
        <v>1185</v>
      </c>
      <c r="E284" s="75" t="s">
        <v>1186</v>
      </c>
      <c r="F284" s="80"/>
      <c r="G284" s="77" t="s">
        <v>3</v>
      </c>
      <c r="H284" s="64"/>
      <c r="I284" s="64"/>
      <c r="J284" s="64"/>
      <c r="K284" s="64"/>
      <c r="L284" s="64"/>
      <c r="M284" s="64"/>
      <c r="N284" s="64"/>
      <c r="O284" s="64"/>
      <c r="P284" s="64"/>
      <c r="Q284" s="64"/>
      <c r="R284" s="64"/>
      <c r="S284" s="64"/>
      <c r="T284" s="64"/>
      <c r="U284" s="64"/>
      <c r="V284" s="64"/>
      <c r="W284" s="64"/>
      <c r="X284" s="64"/>
      <c r="Y284" s="64"/>
      <c r="Z284" s="64"/>
    </row>
    <row r="285" outlineLevel="1">
      <c r="A285" s="72" t="s">
        <v>403</v>
      </c>
      <c r="B285" s="72" t="s">
        <v>1187</v>
      </c>
      <c r="C285" s="72" t="s">
        <v>1188</v>
      </c>
      <c r="D285" s="75" t="s">
        <v>1189</v>
      </c>
      <c r="E285" s="72" t="s">
        <v>1190</v>
      </c>
      <c r="F285" s="80"/>
      <c r="G285" s="74" t="s">
        <v>3</v>
      </c>
      <c r="H285" s="64"/>
      <c r="I285" s="64"/>
      <c r="J285" s="64"/>
      <c r="K285" s="64"/>
      <c r="L285" s="64"/>
      <c r="M285" s="64"/>
      <c r="N285" s="64"/>
      <c r="O285" s="64"/>
      <c r="P285" s="64"/>
      <c r="Q285" s="64"/>
      <c r="R285" s="64"/>
      <c r="S285" s="64"/>
      <c r="T285" s="64"/>
      <c r="U285" s="64"/>
      <c r="V285" s="64"/>
      <c r="W285" s="64"/>
      <c r="X285" s="64"/>
      <c r="Y285" s="64"/>
      <c r="Z285" s="64"/>
    </row>
    <row r="286" outlineLevel="1">
      <c r="A286" s="72" t="s">
        <v>408</v>
      </c>
      <c r="B286" s="72" t="s">
        <v>1191</v>
      </c>
      <c r="C286" s="72" t="s">
        <v>1192</v>
      </c>
      <c r="D286" s="72" t="s">
        <v>1193</v>
      </c>
      <c r="E286" s="72" t="s">
        <v>1194</v>
      </c>
      <c r="F286" s="80"/>
      <c r="G286" s="74" t="s">
        <v>3</v>
      </c>
      <c r="H286" s="64"/>
      <c r="I286" s="64"/>
      <c r="J286" s="64"/>
      <c r="K286" s="64"/>
      <c r="L286" s="64"/>
      <c r="M286" s="64"/>
      <c r="N286" s="64"/>
      <c r="O286" s="64"/>
      <c r="P286" s="64"/>
      <c r="Q286" s="64"/>
      <c r="R286" s="64"/>
      <c r="S286" s="64"/>
      <c r="T286" s="64"/>
      <c r="U286" s="64"/>
      <c r="V286" s="64"/>
      <c r="W286" s="64"/>
      <c r="X286" s="64"/>
      <c r="Y286" s="64"/>
      <c r="Z286" s="64"/>
    </row>
    <row r="287" outlineLevel="1">
      <c r="A287" s="72" t="s">
        <v>412</v>
      </c>
      <c r="B287" s="72" t="s">
        <v>1195</v>
      </c>
      <c r="C287" s="72" t="s">
        <v>1196</v>
      </c>
      <c r="D287" s="72" t="s">
        <v>1197</v>
      </c>
      <c r="E287" s="72" t="s">
        <v>1198</v>
      </c>
      <c r="F287" s="80"/>
      <c r="G287" s="74" t="s">
        <v>3</v>
      </c>
      <c r="H287" s="64"/>
      <c r="I287" s="64"/>
      <c r="J287" s="64"/>
      <c r="K287" s="64"/>
      <c r="L287" s="64"/>
      <c r="M287" s="64"/>
      <c r="N287" s="64"/>
      <c r="O287" s="64"/>
      <c r="P287" s="64"/>
      <c r="Q287" s="64"/>
      <c r="R287" s="64"/>
      <c r="S287" s="64"/>
      <c r="T287" s="64"/>
      <c r="U287" s="64"/>
      <c r="V287" s="64"/>
      <c r="W287" s="64"/>
      <c r="X287" s="64"/>
      <c r="Y287" s="64"/>
      <c r="Z287" s="64"/>
    </row>
    <row r="288" outlineLevel="1">
      <c r="A288" s="72" t="s">
        <v>417</v>
      </c>
      <c r="B288" s="72" t="s">
        <v>1199</v>
      </c>
      <c r="C288" s="72" t="s">
        <v>1181</v>
      </c>
      <c r="D288" s="72" t="s">
        <v>1200</v>
      </c>
      <c r="E288" s="72" t="s">
        <v>1201</v>
      </c>
      <c r="F288" s="80"/>
      <c r="G288" s="74" t="s">
        <v>3</v>
      </c>
      <c r="H288" s="64"/>
      <c r="I288" s="64"/>
      <c r="J288" s="64"/>
      <c r="K288" s="64"/>
      <c r="L288" s="64"/>
      <c r="M288" s="64"/>
      <c r="N288" s="64"/>
      <c r="O288" s="64"/>
      <c r="P288" s="64"/>
      <c r="Q288" s="64"/>
      <c r="R288" s="64"/>
      <c r="S288" s="64"/>
      <c r="T288" s="64"/>
      <c r="U288" s="64"/>
      <c r="V288" s="64"/>
      <c r="W288" s="64"/>
      <c r="X288" s="64"/>
      <c r="Y288" s="64"/>
      <c r="Z288" s="64"/>
    </row>
    <row r="289" outlineLevel="1">
      <c r="A289" s="72" t="s">
        <v>422</v>
      </c>
      <c r="B289" s="72" t="s">
        <v>1202</v>
      </c>
      <c r="C289" s="72" t="s">
        <v>1181</v>
      </c>
      <c r="D289" s="72" t="s">
        <v>1203</v>
      </c>
      <c r="E289" s="72" t="s">
        <v>1204</v>
      </c>
      <c r="F289" s="80"/>
      <c r="G289" s="74" t="s">
        <v>3</v>
      </c>
      <c r="H289" s="64"/>
      <c r="I289" s="64"/>
      <c r="J289" s="64"/>
      <c r="K289" s="64"/>
      <c r="L289" s="64"/>
      <c r="M289" s="64"/>
      <c r="N289" s="64"/>
      <c r="O289" s="64"/>
      <c r="P289" s="64"/>
      <c r="Q289" s="64"/>
      <c r="R289" s="64"/>
      <c r="S289" s="64"/>
      <c r="T289" s="64"/>
      <c r="U289" s="64"/>
      <c r="V289" s="64"/>
      <c r="W289" s="64"/>
      <c r="X289" s="64"/>
      <c r="Y289" s="64"/>
      <c r="Z289" s="64"/>
    </row>
    <row r="290" outlineLevel="1">
      <c r="A290" s="72" t="s">
        <v>427</v>
      </c>
      <c r="B290" s="72" t="s">
        <v>1205</v>
      </c>
      <c r="C290" s="72" t="s">
        <v>1206</v>
      </c>
      <c r="D290" s="72" t="s">
        <v>1207</v>
      </c>
      <c r="E290" s="72" t="s">
        <v>1208</v>
      </c>
      <c r="F290" s="80"/>
      <c r="G290" s="74" t="s">
        <v>3</v>
      </c>
      <c r="H290" s="64"/>
      <c r="I290" s="64"/>
      <c r="J290" s="64"/>
      <c r="K290" s="64"/>
      <c r="L290" s="64"/>
      <c r="M290" s="64"/>
      <c r="N290" s="64"/>
      <c r="O290" s="64"/>
      <c r="P290" s="64"/>
      <c r="Q290" s="64"/>
      <c r="R290" s="64"/>
      <c r="S290" s="64"/>
      <c r="T290" s="64"/>
      <c r="U290" s="64"/>
      <c r="V290" s="64"/>
      <c r="W290" s="64"/>
      <c r="X290" s="64"/>
      <c r="Y290" s="64"/>
      <c r="Z290" s="64"/>
    </row>
    <row r="291" outlineLevel="1">
      <c r="A291" s="72" t="s">
        <v>433</v>
      </c>
      <c r="B291" s="72" t="s">
        <v>1209</v>
      </c>
      <c r="C291" s="72" t="s">
        <v>1181</v>
      </c>
      <c r="D291" s="72" t="s">
        <v>1210</v>
      </c>
      <c r="E291" s="72" t="s">
        <v>1211</v>
      </c>
      <c r="F291" s="80"/>
      <c r="G291" s="74" t="s">
        <v>3</v>
      </c>
      <c r="H291" s="64"/>
      <c r="I291" s="64"/>
      <c r="J291" s="64"/>
      <c r="K291" s="64"/>
      <c r="L291" s="64"/>
      <c r="M291" s="64"/>
      <c r="N291" s="64"/>
      <c r="O291" s="64"/>
      <c r="P291" s="64"/>
      <c r="Q291" s="64"/>
      <c r="R291" s="64"/>
      <c r="S291" s="64"/>
      <c r="T291" s="64"/>
      <c r="U291" s="64"/>
      <c r="V291" s="64"/>
      <c r="W291" s="64"/>
      <c r="X291" s="64"/>
      <c r="Y291" s="64"/>
      <c r="Z291" s="64"/>
    </row>
    <row r="292" outlineLevel="1">
      <c r="A292" s="72" t="s">
        <v>438</v>
      </c>
      <c r="B292" s="72" t="s">
        <v>1212</v>
      </c>
      <c r="C292" s="72" t="s">
        <v>1213</v>
      </c>
      <c r="D292" s="72" t="s">
        <v>1214</v>
      </c>
      <c r="E292" s="72" t="s">
        <v>1215</v>
      </c>
      <c r="F292" s="80"/>
      <c r="G292" s="74" t="s">
        <v>3</v>
      </c>
      <c r="H292" s="64"/>
      <c r="I292" s="64"/>
      <c r="J292" s="64"/>
      <c r="K292" s="64"/>
      <c r="L292" s="64"/>
      <c r="M292" s="64"/>
      <c r="N292" s="64"/>
      <c r="O292" s="64"/>
      <c r="P292" s="64"/>
      <c r="Q292" s="64"/>
      <c r="R292" s="64"/>
      <c r="S292" s="64"/>
      <c r="T292" s="64"/>
      <c r="U292" s="64"/>
      <c r="V292" s="64"/>
      <c r="W292" s="64"/>
      <c r="X292" s="64"/>
      <c r="Y292" s="64"/>
      <c r="Z292" s="64"/>
    </row>
    <row r="293" outlineLevel="1">
      <c r="A293" s="72" t="s">
        <v>464</v>
      </c>
      <c r="B293" s="72" t="s">
        <v>1216</v>
      </c>
      <c r="C293" s="72" t="s">
        <v>1217</v>
      </c>
      <c r="D293" s="72" t="s">
        <v>1218</v>
      </c>
      <c r="E293" s="72" t="s">
        <v>1219</v>
      </c>
      <c r="F293" s="80"/>
      <c r="G293" s="74" t="s">
        <v>3</v>
      </c>
      <c r="H293" s="64"/>
      <c r="I293" s="64"/>
      <c r="J293" s="64"/>
      <c r="K293" s="64"/>
      <c r="L293" s="64"/>
      <c r="M293" s="64"/>
      <c r="N293" s="64"/>
      <c r="O293" s="64"/>
      <c r="P293" s="64"/>
      <c r="Q293" s="64"/>
      <c r="R293" s="64"/>
      <c r="S293" s="64"/>
      <c r="T293" s="64"/>
      <c r="U293" s="64"/>
      <c r="V293" s="64"/>
      <c r="W293" s="64"/>
      <c r="X293" s="64"/>
      <c r="Y293" s="64"/>
      <c r="Z293" s="64"/>
    </row>
    <row r="294" outlineLevel="1">
      <c r="A294" s="72" t="s">
        <v>468</v>
      </c>
      <c r="B294" s="72" t="s">
        <v>1220</v>
      </c>
      <c r="C294" s="72" t="s">
        <v>1221</v>
      </c>
      <c r="D294" s="72" t="s">
        <v>1222</v>
      </c>
      <c r="E294" s="72" t="s">
        <v>1223</v>
      </c>
      <c r="F294" s="80"/>
      <c r="G294" s="74" t="s">
        <v>3</v>
      </c>
      <c r="H294" s="64"/>
      <c r="I294" s="64"/>
      <c r="J294" s="64"/>
      <c r="K294" s="64"/>
      <c r="L294" s="64"/>
      <c r="M294" s="64"/>
      <c r="N294" s="64"/>
      <c r="O294" s="64"/>
      <c r="P294" s="64"/>
      <c r="Q294" s="64"/>
      <c r="R294" s="64"/>
      <c r="S294" s="64"/>
      <c r="T294" s="64"/>
      <c r="U294" s="64"/>
      <c r="V294" s="64"/>
      <c r="W294" s="64"/>
      <c r="X294" s="64"/>
      <c r="Y294" s="64"/>
      <c r="Z294" s="64"/>
    </row>
    <row r="295" outlineLevel="1">
      <c r="A295" s="72" t="s">
        <v>472</v>
      </c>
      <c r="B295" s="72" t="s">
        <v>1224</v>
      </c>
      <c r="C295" s="72" t="s">
        <v>1225</v>
      </c>
      <c r="D295" s="72" t="s">
        <v>1226</v>
      </c>
      <c r="E295" s="72" t="s">
        <v>1227</v>
      </c>
      <c r="F295" s="81"/>
      <c r="G295" s="74" t="s">
        <v>3</v>
      </c>
      <c r="H295" s="64"/>
      <c r="I295" s="64"/>
      <c r="J295" s="64"/>
      <c r="K295" s="64"/>
      <c r="L295" s="64"/>
      <c r="M295" s="64"/>
      <c r="N295" s="64"/>
      <c r="O295" s="64"/>
      <c r="P295" s="64"/>
      <c r="Q295" s="64"/>
      <c r="R295" s="64"/>
      <c r="S295" s="64"/>
      <c r="T295" s="64"/>
      <c r="U295" s="64"/>
      <c r="V295" s="64"/>
      <c r="W295" s="64"/>
      <c r="X295" s="64"/>
      <c r="Y295" s="64"/>
      <c r="Z295" s="64"/>
    </row>
    <row r="296" outlineLevel="1">
      <c r="A296" s="72" t="s">
        <v>476</v>
      </c>
      <c r="B296" s="72" t="s">
        <v>1228</v>
      </c>
      <c r="C296" s="72" t="s">
        <v>1225</v>
      </c>
      <c r="D296" s="72" t="s">
        <v>1226</v>
      </c>
      <c r="E296" s="72" t="s">
        <v>1229</v>
      </c>
      <c r="F296" s="81"/>
      <c r="G296" s="77" t="s">
        <v>3</v>
      </c>
      <c r="H296" s="64"/>
      <c r="I296" s="64"/>
      <c r="J296" s="64"/>
      <c r="K296" s="64"/>
      <c r="L296" s="64"/>
      <c r="M296" s="64"/>
      <c r="N296" s="64"/>
      <c r="O296" s="64"/>
      <c r="P296" s="64"/>
      <c r="Q296" s="64"/>
      <c r="R296" s="64"/>
      <c r="S296" s="64"/>
      <c r="T296" s="64"/>
      <c r="U296" s="64"/>
      <c r="V296" s="64"/>
      <c r="W296" s="64"/>
      <c r="X296" s="64"/>
      <c r="Y296" s="64"/>
      <c r="Z296" s="64"/>
    </row>
    <row r="297" outlineLevel="1">
      <c r="A297" s="72" t="s">
        <v>493</v>
      </c>
      <c r="B297" s="72" t="s">
        <v>1230</v>
      </c>
      <c r="C297" s="72" t="s">
        <v>1231</v>
      </c>
      <c r="D297" s="72" t="s">
        <v>1232</v>
      </c>
      <c r="E297" s="72" t="s">
        <v>1233</v>
      </c>
      <c r="F297" s="80"/>
      <c r="G297" s="74" t="s">
        <v>3</v>
      </c>
      <c r="H297" s="64"/>
      <c r="I297" s="64"/>
      <c r="J297" s="64"/>
      <c r="K297" s="64"/>
      <c r="L297" s="64"/>
      <c r="M297" s="64"/>
      <c r="N297" s="64"/>
      <c r="O297" s="64"/>
      <c r="P297" s="64"/>
      <c r="Q297" s="64"/>
      <c r="R297" s="64"/>
      <c r="S297" s="64"/>
      <c r="T297" s="64"/>
      <c r="U297" s="64"/>
      <c r="V297" s="64"/>
      <c r="W297" s="64"/>
      <c r="X297" s="64"/>
      <c r="Y297" s="64"/>
      <c r="Z297" s="64"/>
    </row>
    <row r="298">
      <c r="A298" s="104"/>
      <c r="B298" s="105" t="s">
        <v>1234</v>
      </c>
      <c r="C298" s="104"/>
      <c r="D298" s="104"/>
      <c r="E298" s="104"/>
      <c r="F298" s="69"/>
      <c r="G298" s="69"/>
      <c r="H298" s="64"/>
      <c r="I298" s="64"/>
      <c r="J298" s="64"/>
      <c r="K298" s="64"/>
      <c r="L298" s="64"/>
      <c r="M298" s="64"/>
      <c r="N298" s="64"/>
      <c r="O298" s="64"/>
      <c r="P298" s="64"/>
      <c r="Q298" s="64"/>
      <c r="R298" s="64"/>
      <c r="S298" s="64"/>
      <c r="T298" s="64"/>
      <c r="U298" s="64"/>
      <c r="V298" s="64"/>
      <c r="W298" s="64"/>
      <c r="X298" s="64"/>
      <c r="Y298" s="64"/>
      <c r="Z298" s="64"/>
    </row>
    <row r="299" outlineLevel="1">
      <c r="A299" s="72" t="s">
        <v>498</v>
      </c>
      <c r="B299" s="72" t="s">
        <v>1235</v>
      </c>
      <c r="C299" s="72" t="s">
        <v>1236</v>
      </c>
      <c r="D299" s="72" t="s">
        <v>1237</v>
      </c>
      <c r="E299" s="72" t="s">
        <v>1238</v>
      </c>
      <c r="F299" s="80"/>
      <c r="G299" s="74" t="s">
        <v>3</v>
      </c>
      <c r="H299" s="64"/>
      <c r="I299" s="64"/>
      <c r="J299" s="64"/>
      <c r="K299" s="64"/>
      <c r="L299" s="64"/>
      <c r="M299" s="64"/>
      <c r="N299" s="64"/>
      <c r="O299" s="64"/>
      <c r="P299" s="64"/>
      <c r="Q299" s="64"/>
      <c r="R299" s="64"/>
      <c r="S299" s="64"/>
      <c r="T299" s="64"/>
      <c r="U299" s="64"/>
      <c r="V299" s="64"/>
      <c r="W299" s="64"/>
      <c r="X299" s="64"/>
      <c r="Y299" s="64"/>
      <c r="Z299" s="64"/>
    </row>
    <row r="300" outlineLevel="1">
      <c r="A300" s="72" t="s">
        <v>503</v>
      </c>
      <c r="B300" s="72" t="s">
        <v>1239</v>
      </c>
      <c r="C300" s="72" t="s">
        <v>1240</v>
      </c>
      <c r="D300" s="72" t="s">
        <v>1241</v>
      </c>
      <c r="E300" s="72" t="s">
        <v>1242</v>
      </c>
      <c r="F300" s="80"/>
      <c r="G300" s="74" t="s">
        <v>3</v>
      </c>
      <c r="H300" s="64"/>
      <c r="I300" s="64"/>
      <c r="J300" s="64"/>
      <c r="K300" s="64"/>
      <c r="L300" s="64"/>
      <c r="M300" s="64"/>
      <c r="N300" s="64"/>
      <c r="O300" s="64"/>
      <c r="P300" s="64"/>
      <c r="Q300" s="64"/>
      <c r="R300" s="64"/>
      <c r="S300" s="64"/>
      <c r="T300" s="64"/>
      <c r="U300" s="64"/>
      <c r="V300" s="64"/>
      <c r="W300" s="64"/>
      <c r="X300" s="64"/>
      <c r="Y300" s="64"/>
      <c r="Z300" s="64"/>
    </row>
    <row r="301" outlineLevel="1">
      <c r="A301" s="72" t="s">
        <v>507</v>
      </c>
      <c r="B301" s="72" t="s">
        <v>1243</v>
      </c>
      <c r="C301" s="72" t="s">
        <v>1244</v>
      </c>
      <c r="D301" s="72" t="s">
        <v>1245</v>
      </c>
      <c r="E301" s="72" t="s">
        <v>1246</v>
      </c>
      <c r="F301" s="80"/>
      <c r="G301" s="74" t="s">
        <v>3</v>
      </c>
      <c r="H301" s="64"/>
      <c r="I301" s="64"/>
      <c r="J301" s="64"/>
      <c r="K301" s="64"/>
      <c r="L301" s="64"/>
      <c r="M301" s="64"/>
      <c r="N301" s="64"/>
      <c r="O301" s="64"/>
      <c r="P301" s="64"/>
      <c r="Q301" s="64"/>
      <c r="R301" s="64"/>
      <c r="S301" s="64"/>
      <c r="T301" s="64"/>
      <c r="U301" s="64"/>
      <c r="V301" s="64"/>
      <c r="W301" s="64"/>
      <c r="X301" s="64"/>
      <c r="Y301" s="64"/>
      <c r="Z301" s="64"/>
    </row>
    <row r="302" outlineLevel="1">
      <c r="A302" s="72" t="s">
        <v>510</v>
      </c>
      <c r="B302" s="72" t="s">
        <v>1247</v>
      </c>
      <c r="C302" s="72" t="s">
        <v>1248</v>
      </c>
      <c r="D302" s="72" t="s">
        <v>1249</v>
      </c>
      <c r="E302" s="72" t="s">
        <v>1250</v>
      </c>
      <c r="F302" s="80"/>
      <c r="G302" s="74" t="s">
        <v>3</v>
      </c>
      <c r="H302" s="64"/>
      <c r="I302" s="64"/>
      <c r="J302" s="64"/>
      <c r="K302" s="64"/>
      <c r="L302" s="64"/>
      <c r="M302" s="64"/>
      <c r="N302" s="64"/>
      <c r="O302" s="64"/>
      <c r="P302" s="64"/>
      <c r="Q302" s="64"/>
      <c r="R302" s="64"/>
      <c r="S302" s="64"/>
      <c r="T302" s="64"/>
      <c r="U302" s="64"/>
      <c r="V302" s="64"/>
      <c r="W302" s="64"/>
      <c r="X302" s="64"/>
      <c r="Y302" s="64"/>
      <c r="Z302" s="64"/>
    </row>
    <row r="303" outlineLevel="1">
      <c r="A303" s="72" t="s">
        <v>515</v>
      </c>
      <c r="B303" s="72" t="s">
        <v>1251</v>
      </c>
      <c r="C303" s="72" t="s">
        <v>1252</v>
      </c>
      <c r="D303" s="72" t="s">
        <v>1249</v>
      </c>
      <c r="E303" s="72" t="s">
        <v>1253</v>
      </c>
      <c r="F303" s="80"/>
      <c r="G303" s="74" t="s">
        <v>3</v>
      </c>
      <c r="H303" s="64"/>
      <c r="I303" s="64"/>
      <c r="J303" s="64"/>
      <c r="K303" s="64"/>
      <c r="L303" s="64"/>
      <c r="M303" s="64"/>
      <c r="N303" s="64"/>
      <c r="O303" s="64"/>
      <c r="P303" s="64"/>
      <c r="Q303" s="64"/>
      <c r="R303" s="64"/>
      <c r="S303" s="64"/>
      <c r="T303" s="64"/>
      <c r="U303" s="64"/>
      <c r="V303" s="64"/>
      <c r="W303" s="64"/>
      <c r="X303" s="64"/>
      <c r="Y303" s="64"/>
      <c r="Z303" s="64"/>
    </row>
    <row r="304" outlineLevel="1">
      <c r="A304" s="72" t="s">
        <v>519</v>
      </c>
      <c r="B304" s="72" t="s">
        <v>1254</v>
      </c>
      <c r="C304" s="72" t="s">
        <v>1244</v>
      </c>
      <c r="D304" s="72" t="s">
        <v>1255</v>
      </c>
      <c r="E304" s="72" t="s">
        <v>1256</v>
      </c>
      <c r="F304" s="80"/>
      <c r="G304" s="74" t="s">
        <v>3</v>
      </c>
      <c r="H304" s="64"/>
      <c r="I304" s="64"/>
      <c r="J304" s="64"/>
      <c r="K304" s="64"/>
      <c r="L304" s="64"/>
      <c r="M304" s="64"/>
      <c r="N304" s="64"/>
      <c r="O304" s="64"/>
      <c r="P304" s="64"/>
      <c r="Q304" s="64"/>
      <c r="R304" s="64"/>
      <c r="S304" s="64"/>
      <c r="T304" s="64"/>
      <c r="U304" s="64"/>
      <c r="V304" s="64"/>
      <c r="W304" s="64"/>
      <c r="X304" s="64"/>
      <c r="Y304" s="64"/>
      <c r="Z304" s="64"/>
    </row>
    <row r="305" outlineLevel="1">
      <c r="A305" s="72" t="s">
        <v>522</v>
      </c>
      <c r="B305" s="72" t="s">
        <v>1257</v>
      </c>
      <c r="C305" s="72" t="s">
        <v>1258</v>
      </c>
      <c r="D305" s="72" t="s">
        <v>1259</v>
      </c>
      <c r="E305" s="72" t="s">
        <v>1260</v>
      </c>
      <c r="F305" s="80"/>
      <c r="G305" s="74" t="s">
        <v>3</v>
      </c>
      <c r="H305" s="64"/>
      <c r="I305" s="64"/>
      <c r="J305" s="64"/>
      <c r="K305" s="64"/>
      <c r="L305" s="64"/>
      <c r="M305" s="64"/>
      <c r="N305" s="64"/>
      <c r="O305" s="64"/>
      <c r="P305" s="64"/>
      <c r="Q305" s="64"/>
      <c r="R305" s="64"/>
      <c r="S305" s="64"/>
      <c r="T305" s="64"/>
      <c r="U305" s="64"/>
      <c r="V305" s="64"/>
      <c r="W305" s="64"/>
      <c r="X305" s="64"/>
      <c r="Y305" s="64"/>
      <c r="Z305" s="64"/>
    </row>
    <row r="306" outlineLevel="1">
      <c r="A306" s="72" t="s">
        <v>525</v>
      </c>
      <c r="B306" s="72" t="s">
        <v>1261</v>
      </c>
      <c r="C306" s="72" t="s">
        <v>1262</v>
      </c>
      <c r="D306" s="72" t="s">
        <v>1263</v>
      </c>
      <c r="E306" s="72" t="s">
        <v>1264</v>
      </c>
      <c r="F306" s="80"/>
      <c r="G306" s="74" t="s">
        <v>3</v>
      </c>
      <c r="H306" s="64"/>
      <c r="I306" s="64"/>
      <c r="J306" s="64"/>
      <c r="K306" s="64"/>
      <c r="L306" s="64"/>
      <c r="M306" s="64"/>
      <c r="N306" s="64"/>
      <c r="O306" s="64"/>
      <c r="P306" s="64"/>
      <c r="Q306" s="64"/>
      <c r="R306" s="64"/>
      <c r="S306" s="64"/>
      <c r="T306" s="64"/>
      <c r="U306" s="64"/>
      <c r="V306" s="64"/>
      <c r="W306" s="64"/>
      <c r="X306" s="64"/>
      <c r="Y306" s="64"/>
      <c r="Z306" s="64"/>
    </row>
    <row r="307" outlineLevel="1">
      <c r="A307" s="72" t="s">
        <v>527</v>
      </c>
      <c r="B307" s="72" t="s">
        <v>1265</v>
      </c>
      <c r="C307" s="72" t="s">
        <v>1266</v>
      </c>
      <c r="D307" s="72" t="s">
        <v>1267</v>
      </c>
      <c r="E307" s="72" t="s">
        <v>1268</v>
      </c>
      <c r="F307" s="80"/>
      <c r="G307" s="74" t="s">
        <v>3</v>
      </c>
      <c r="H307" s="64"/>
      <c r="I307" s="64"/>
      <c r="J307" s="64"/>
      <c r="K307" s="64"/>
      <c r="L307" s="64"/>
      <c r="M307" s="64"/>
      <c r="N307" s="64"/>
      <c r="O307" s="64"/>
      <c r="P307" s="64"/>
      <c r="Q307" s="64"/>
      <c r="R307" s="64"/>
      <c r="S307" s="64"/>
      <c r="T307" s="64"/>
      <c r="U307" s="64"/>
      <c r="V307" s="64"/>
      <c r="W307" s="64"/>
      <c r="X307" s="64"/>
      <c r="Y307" s="64"/>
      <c r="Z307" s="64"/>
    </row>
    <row r="308" outlineLevel="1">
      <c r="A308" s="72" t="s">
        <v>529</v>
      </c>
      <c r="B308" s="72" t="s">
        <v>1269</v>
      </c>
      <c r="C308" s="72" t="s">
        <v>1270</v>
      </c>
      <c r="D308" s="72" t="s">
        <v>1271</v>
      </c>
      <c r="E308" s="72" t="s">
        <v>1272</v>
      </c>
      <c r="F308" s="81"/>
      <c r="G308" s="77" t="s">
        <v>3</v>
      </c>
      <c r="H308" s="64"/>
      <c r="I308" s="64"/>
      <c r="J308" s="64"/>
      <c r="K308" s="64"/>
      <c r="L308" s="64"/>
      <c r="M308" s="64"/>
      <c r="N308" s="64"/>
      <c r="O308" s="64"/>
      <c r="P308" s="64"/>
      <c r="Q308" s="64"/>
      <c r="R308" s="64"/>
      <c r="S308" s="64"/>
      <c r="T308" s="64"/>
      <c r="U308" s="64"/>
      <c r="V308" s="64"/>
      <c r="W308" s="64"/>
      <c r="X308" s="64"/>
      <c r="Y308" s="64"/>
      <c r="Z308" s="64"/>
    </row>
    <row r="309">
      <c r="A309" s="104"/>
      <c r="B309" s="105" t="s">
        <v>1273</v>
      </c>
      <c r="C309" s="104"/>
      <c r="D309" s="104"/>
      <c r="E309" s="104"/>
      <c r="F309" s="69"/>
      <c r="G309" s="69"/>
      <c r="H309" s="64"/>
      <c r="I309" s="64"/>
      <c r="J309" s="64"/>
      <c r="K309" s="64"/>
      <c r="L309" s="64"/>
      <c r="M309" s="64"/>
      <c r="N309" s="64"/>
      <c r="O309" s="64"/>
      <c r="P309" s="64"/>
      <c r="Q309" s="64"/>
      <c r="R309" s="64"/>
      <c r="S309" s="64"/>
      <c r="T309" s="64"/>
      <c r="U309" s="64"/>
      <c r="V309" s="64"/>
      <c r="W309" s="64"/>
      <c r="X309" s="64"/>
      <c r="Y309" s="64"/>
      <c r="Z309" s="64"/>
    </row>
    <row r="310">
      <c r="A310" s="64"/>
      <c r="B310" s="72" t="s">
        <v>1274</v>
      </c>
      <c r="C310" s="64"/>
      <c r="D310" s="64"/>
      <c r="E310" s="106" t="s">
        <v>1275</v>
      </c>
      <c r="F310" s="80"/>
      <c r="G310" s="74" t="s">
        <v>3</v>
      </c>
      <c r="H310" s="64"/>
      <c r="I310" s="64"/>
      <c r="J310" s="64"/>
      <c r="K310" s="64"/>
      <c r="L310" s="64"/>
      <c r="M310" s="64"/>
      <c r="N310" s="64"/>
      <c r="O310" s="64"/>
      <c r="P310" s="64"/>
      <c r="Q310" s="64"/>
      <c r="R310" s="64"/>
      <c r="S310" s="64"/>
      <c r="T310" s="64"/>
      <c r="U310" s="64"/>
      <c r="V310" s="64"/>
      <c r="W310" s="64"/>
      <c r="X310" s="64"/>
      <c r="Y310" s="64"/>
      <c r="Z310" s="64"/>
    </row>
    <row r="311">
      <c r="A311" s="104"/>
      <c r="B311" s="105" t="s">
        <v>1276</v>
      </c>
      <c r="C311" s="104"/>
      <c r="D311" s="104"/>
      <c r="E311" s="104"/>
      <c r="F311" s="69"/>
      <c r="G311" s="69"/>
      <c r="H311" s="64"/>
      <c r="I311" s="64"/>
      <c r="J311" s="64"/>
      <c r="K311" s="64"/>
      <c r="L311" s="64"/>
      <c r="M311" s="64"/>
      <c r="N311" s="64"/>
      <c r="O311" s="64"/>
      <c r="P311" s="64"/>
      <c r="Q311" s="64"/>
      <c r="R311" s="64"/>
      <c r="S311" s="64"/>
      <c r="T311" s="64"/>
      <c r="U311" s="64"/>
      <c r="V311" s="64"/>
      <c r="W311" s="64"/>
      <c r="X311" s="64"/>
      <c r="Y311" s="64"/>
      <c r="Z311" s="64"/>
    </row>
    <row r="312">
      <c r="A312" s="72" t="s">
        <v>531</v>
      </c>
      <c r="B312" s="72" t="s">
        <v>1277</v>
      </c>
      <c r="C312" s="72" t="s">
        <v>1278</v>
      </c>
      <c r="D312" s="72" t="s">
        <v>1279</v>
      </c>
      <c r="E312" s="72" t="s">
        <v>1280</v>
      </c>
      <c r="F312" s="80"/>
      <c r="G312" s="74" t="s">
        <v>3</v>
      </c>
      <c r="H312" s="64"/>
      <c r="I312" s="64"/>
      <c r="J312" s="64"/>
      <c r="K312" s="64"/>
      <c r="L312" s="64"/>
      <c r="M312" s="64"/>
      <c r="N312" s="64"/>
      <c r="O312" s="64"/>
      <c r="P312" s="64"/>
      <c r="Q312" s="64"/>
      <c r="R312" s="64"/>
      <c r="S312" s="64"/>
      <c r="T312" s="64"/>
      <c r="U312" s="64"/>
      <c r="V312" s="64"/>
      <c r="W312" s="64"/>
      <c r="X312" s="64"/>
      <c r="Y312" s="64"/>
      <c r="Z312" s="64"/>
    </row>
    <row r="313">
      <c r="A313" s="72" t="s">
        <v>533</v>
      </c>
      <c r="B313" s="72" t="s">
        <v>1281</v>
      </c>
      <c r="C313" s="72" t="s">
        <v>1282</v>
      </c>
      <c r="D313" s="72" t="s">
        <v>1283</v>
      </c>
      <c r="E313" s="72" t="s">
        <v>1284</v>
      </c>
      <c r="F313" s="80"/>
      <c r="G313" s="74" t="s">
        <v>3</v>
      </c>
      <c r="H313" s="64"/>
      <c r="I313" s="64"/>
      <c r="J313" s="64"/>
      <c r="K313" s="64"/>
      <c r="L313" s="64"/>
      <c r="M313" s="64"/>
      <c r="N313" s="64"/>
      <c r="O313" s="64"/>
      <c r="P313" s="64"/>
      <c r="Q313" s="64"/>
      <c r="R313" s="64"/>
      <c r="S313" s="64"/>
      <c r="T313" s="64"/>
      <c r="U313" s="64"/>
      <c r="V313" s="64"/>
      <c r="W313" s="64"/>
      <c r="X313" s="64"/>
      <c r="Y313" s="64"/>
      <c r="Z313" s="64"/>
    </row>
    <row r="314">
      <c r="A314" s="72" t="s">
        <v>534</v>
      </c>
      <c r="B314" s="72" t="s">
        <v>1285</v>
      </c>
      <c r="C314" s="72" t="s">
        <v>1282</v>
      </c>
      <c r="D314" s="72" t="s">
        <v>1286</v>
      </c>
      <c r="E314" s="72" t="s">
        <v>1287</v>
      </c>
      <c r="F314" s="80"/>
      <c r="G314" s="74" t="s">
        <v>3</v>
      </c>
      <c r="H314" s="64"/>
      <c r="I314" s="64"/>
      <c r="J314" s="64"/>
      <c r="K314" s="64"/>
      <c r="L314" s="64"/>
      <c r="M314" s="64"/>
      <c r="N314" s="64"/>
      <c r="O314" s="64"/>
      <c r="P314" s="64"/>
      <c r="Q314" s="64"/>
      <c r="R314" s="64"/>
      <c r="S314" s="64"/>
      <c r="T314" s="64"/>
      <c r="U314" s="64"/>
      <c r="V314" s="64"/>
      <c r="W314" s="64"/>
      <c r="X314" s="64"/>
      <c r="Y314" s="64"/>
      <c r="Z314" s="64"/>
    </row>
    <row r="315">
      <c r="A315" s="72" t="s">
        <v>539</v>
      </c>
      <c r="B315" s="72" t="s">
        <v>1288</v>
      </c>
      <c r="C315" s="72" t="s">
        <v>1282</v>
      </c>
      <c r="D315" s="72" t="s">
        <v>1289</v>
      </c>
      <c r="E315" s="72" t="s">
        <v>1290</v>
      </c>
      <c r="F315" s="80"/>
      <c r="G315" s="74" t="s">
        <v>3</v>
      </c>
      <c r="H315" s="64"/>
      <c r="I315" s="64"/>
      <c r="J315" s="64"/>
      <c r="K315" s="64"/>
      <c r="L315" s="64"/>
      <c r="M315" s="64"/>
      <c r="N315" s="64"/>
      <c r="O315" s="64"/>
      <c r="P315" s="64"/>
      <c r="Q315" s="64"/>
      <c r="R315" s="64"/>
      <c r="S315" s="64"/>
      <c r="T315" s="64"/>
      <c r="U315" s="64"/>
      <c r="V315" s="64"/>
      <c r="W315" s="64"/>
      <c r="X315" s="64"/>
      <c r="Y315" s="64"/>
      <c r="Z315" s="64"/>
    </row>
    <row r="316">
      <c r="A316" s="72" t="s">
        <v>542</v>
      </c>
      <c r="B316" s="72" t="s">
        <v>1291</v>
      </c>
      <c r="C316" s="72" t="s">
        <v>1282</v>
      </c>
      <c r="D316" s="72" t="s">
        <v>1292</v>
      </c>
      <c r="E316" s="72" t="s">
        <v>1293</v>
      </c>
      <c r="F316" s="80"/>
      <c r="G316" s="74" t="s">
        <v>3</v>
      </c>
      <c r="H316" s="64"/>
      <c r="I316" s="64"/>
      <c r="J316" s="64"/>
      <c r="K316" s="64"/>
      <c r="L316" s="64"/>
      <c r="M316" s="64"/>
      <c r="N316" s="64"/>
      <c r="O316" s="64"/>
      <c r="P316" s="64"/>
      <c r="Q316" s="64"/>
      <c r="R316" s="64"/>
      <c r="S316" s="64"/>
      <c r="T316" s="64"/>
      <c r="U316" s="64"/>
      <c r="V316" s="64"/>
      <c r="W316" s="64"/>
      <c r="X316" s="64"/>
      <c r="Y316" s="64"/>
      <c r="Z316" s="64"/>
    </row>
    <row r="317">
      <c r="A317" s="72" t="s">
        <v>545</v>
      </c>
      <c r="B317" s="72" t="s">
        <v>1294</v>
      </c>
      <c r="C317" s="72" t="s">
        <v>1282</v>
      </c>
      <c r="D317" s="72" t="s">
        <v>1295</v>
      </c>
      <c r="E317" s="72" t="s">
        <v>1296</v>
      </c>
      <c r="F317" s="81" t="s">
        <v>1297</v>
      </c>
      <c r="G317" s="74" t="s">
        <v>3</v>
      </c>
      <c r="H317" s="64"/>
      <c r="I317" s="64"/>
      <c r="J317" s="64"/>
      <c r="K317" s="64"/>
      <c r="L317" s="64"/>
      <c r="M317" s="64"/>
      <c r="N317" s="64"/>
      <c r="O317" s="64"/>
      <c r="P317" s="64"/>
      <c r="Q317" s="64"/>
      <c r="R317" s="64"/>
      <c r="S317" s="64"/>
      <c r="T317" s="64"/>
      <c r="U317" s="64"/>
      <c r="V317" s="64"/>
      <c r="W317" s="64"/>
      <c r="X317" s="64"/>
      <c r="Y317" s="64"/>
      <c r="Z317" s="64"/>
    </row>
    <row r="318">
      <c r="A318" s="72" t="s">
        <v>549</v>
      </c>
      <c r="B318" s="72" t="s">
        <v>1298</v>
      </c>
      <c r="C318" s="72" t="s">
        <v>1282</v>
      </c>
      <c r="D318" s="72" t="s">
        <v>1299</v>
      </c>
      <c r="E318" s="72" t="s">
        <v>1300</v>
      </c>
      <c r="F318" s="80"/>
      <c r="G318" s="74" t="s">
        <v>3</v>
      </c>
      <c r="H318" s="64"/>
      <c r="I318" s="64"/>
      <c r="J318" s="64"/>
      <c r="K318" s="64"/>
      <c r="L318" s="64"/>
      <c r="M318" s="64"/>
      <c r="N318" s="64"/>
      <c r="O318" s="64"/>
      <c r="P318" s="64"/>
      <c r="Q318" s="64"/>
      <c r="R318" s="64"/>
      <c r="S318" s="64"/>
      <c r="T318" s="64"/>
      <c r="U318" s="64"/>
      <c r="V318" s="64"/>
      <c r="W318" s="64"/>
      <c r="X318" s="64"/>
      <c r="Y318" s="64"/>
      <c r="Z318" s="64"/>
    </row>
    <row r="319">
      <c r="A319" s="72" t="s">
        <v>553</v>
      </c>
      <c r="B319" s="72" t="s">
        <v>1301</v>
      </c>
      <c r="C319" s="72" t="s">
        <v>1282</v>
      </c>
      <c r="D319" s="72" t="s">
        <v>1302</v>
      </c>
      <c r="E319" s="72" t="s">
        <v>1303</v>
      </c>
      <c r="F319" s="80"/>
      <c r="G319" s="74" t="s">
        <v>3</v>
      </c>
      <c r="H319" s="64"/>
      <c r="I319" s="64"/>
      <c r="J319" s="64"/>
      <c r="K319" s="64"/>
      <c r="L319" s="64"/>
      <c r="M319" s="64"/>
      <c r="N319" s="64"/>
      <c r="O319" s="64"/>
      <c r="P319" s="64"/>
      <c r="Q319" s="64"/>
      <c r="R319" s="64"/>
      <c r="S319" s="64"/>
      <c r="T319" s="64"/>
      <c r="U319" s="64"/>
      <c r="V319" s="64"/>
      <c r="W319" s="64"/>
      <c r="X319" s="64"/>
      <c r="Y319" s="64"/>
      <c r="Z319" s="64"/>
    </row>
    <row r="320">
      <c r="A320" s="72" t="s">
        <v>557</v>
      </c>
      <c r="B320" s="72" t="s">
        <v>1304</v>
      </c>
      <c r="C320" s="72" t="s">
        <v>1282</v>
      </c>
      <c r="D320" s="72" t="s">
        <v>1305</v>
      </c>
      <c r="E320" s="72" t="s">
        <v>1303</v>
      </c>
      <c r="F320" s="80"/>
      <c r="G320" s="74" t="s">
        <v>3</v>
      </c>
      <c r="H320" s="64"/>
      <c r="I320" s="64"/>
      <c r="J320" s="64"/>
      <c r="K320" s="64"/>
      <c r="L320" s="64"/>
      <c r="M320" s="64"/>
      <c r="N320" s="64"/>
      <c r="O320" s="64"/>
      <c r="P320" s="64"/>
      <c r="Q320" s="64"/>
      <c r="R320" s="64"/>
      <c r="S320" s="64"/>
      <c r="T320" s="64"/>
      <c r="U320" s="64"/>
      <c r="V320" s="64"/>
      <c r="W320" s="64"/>
      <c r="X320" s="64"/>
      <c r="Y320" s="64"/>
      <c r="Z320" s="64"/>
    </row>
    <row r="321">
      <c r="A321" s="72" t="s">
        <v>561</v>
      </c>
      <c r="B321" s="72" t="s">
        <v>1306</v>
      </c>
      <c r="C321" s="72" t="s">
        <v>1282</v>
      </c>
      <c r="D321" s="72" t="s">
        <v>1307</v>
      </c>
      <c r="E321" s="72" t="s">
        <v>1293</v>
      </c>
      <c r="F321" s="80"/>
      <c r="G321" s="74" t="s">
        <v>3</v>
      </c>
      <c r="H321" s="64"/>
      <c r="I321" s="64"/>
      <c r="J321" s="64"/>
      <c r="K321" s="64"/>
      <c r="L321" s="64"/>
      <c r="M321" s="64"/>
      <c r="N321" s="64"/>
      <c r="O321" s="64"/>
      <c r="P321" s="64"/>
      <c r="Q321" s="64"/>
      <c r="R321" s="64"/>
      <c r="S321" s="64"/>
      <c r="T321" s="64"/>
      <c r="U321" s="64"/>
      <c r="V321" s="64"/>
      <c r="W321" s="64"/>
      <c r="X321" s="64"/>
      <c r="Y321" s="64"/>
      <c r="Z321" s="64"/>
    </row>
    <row r="322">
      <c r="A322" s="72" t="s">
        <v>565</v>
      </c>
      <c r="B322" s="72" t="s">
        <v>1308</v>
      </c>
      <c r="C322" s="72" t="s">
        <v>1282</v>
      </c>
      <c r="D322" s="72" t="s">
        <v>1309</v>
      </c>
      <c r="E322" s="72" t="s">
        <v>1310</v>
      </c>
      <c r="F322" s="81" t="s">
        <v>1311</v>
      </c>
      <c r="G322" s="74" t="s">
        <v>3</v>
      </c>
      <c r="H322" s="64"/>
      <c r="I322" s="64"/>
      <c r="J322" s="64"/>
      <c r="K322" s="64"/>
      <c r="L322" s="64"/>
      <c r="M322" s="64"/>
      <c r="N322" s="64"/>
      <c r="O322" s="64"/>
      <c r="P322" s="64"/>
      <c r="Q322" s="64"/>
      <c r="R322" s="64"/>
      <c r="S322" s="64"/>
      <c r="T322" s="64"/>
      <c r="U322" s="64"/>
      <c r="V322" s="64"/>
      <c r="W322" s="64"/>
      <c r="X322" s="64"/>
      <c r="Y322" s="64"/>
      <c r="Z322" s="64"/>
    </row>
    <row r="323">
      <c r="A323" s="72" t="s">
        <v>569</v>
      </c>
      <c r="B323" s="72" t="s">
        <v>1312</v>
      </c>
      <c r="C323" s="72" t="s">
        <v>1282</v>
      </c>
      <c r="D323" s="72" t="s">
        <v>1313</v>
      </c>
      <c r="E323" s="72" t="s">
        <v>1314</v>
      </c>
      <c r="F323" s="80"/>
      <c r="G323" s="74" t="s">
        <v>3</v>
      </c>
      <c r="H323" s="64"/>
      <c r="I323" s="64"/>
      <c r="J323" s="64"/>
      <c r="K323" s="64"/>
      <c r="L323" s="64"/>
      <c r="M323" s="64"/>
      <c r="N323" s="64"/>
      <c r="O323" s="64"/>
      <c r="P323" s="64"/>
      <c r="Q323" s="64"/>
      <c r="R323" s="64"/>
      <c r="S323" s="64"/>
      <c r="T323" s="64"/>
      <c r="U323" s="64"/>
      <c r="V323" s="64"/>
      <c r="W323" s="64"/>
      <c r="X323" s="64"/>
      <c r="Y323" s="64"/>
      <c r="Z323" s="64"/>
    </row>
    <row r="324">
      <c r="A324" s="72" t="s">
        <v>573</v>
      </c>
      <c r="B324" s="72" t="s">
        <v>1315</v>
      </c>
      <c r="C324" s="72" t="s">
        <v>1282</v>
      </c>
      <c r="D324" s="72" t="s">
        <v>1316</v>
      </c>
      <c r="E324" s="72" t="s">
        <v>1303</v>
      </c>
      <c r="F324" s="80"/>
      <c r="G324" s="74" t="s">
        <v>3</v>
      </c>
      <c r="H324" s="64"/>
      <c r="I324" s="64"/>
      <c r="J324" s="64"/>
      <c r="K324" s="64"/>
      <c r="L324" s="64"/>
      <c r="M324" s="64"/>
      <c r="N324" s="64"/>
      <c r="O324" s="64"/>
      <c r="P324" s="64"/>
      <c r="Q324" s="64"/>
      <c r="R324" s="64"/>
      <c r="S324" s="64"/>
      <c r="T324" s="64"/>
      <c r="U324" s="64"/>
      <c r="V324" s="64"/>
      <c r="W324" s="64"/>
      <c r="X324" s="64"/>
      <c r="Y324" s="64"/>
      <c r="Z324" s="64"/>
    </row>
    <row r="325">
      <c r="A325" s="72" t="s">
        <v>577</v>
      </c>
      <c r="B325" s="72" t="s">
        <v>1317</v>
      </c>
      <c r="C325" s="72" t="s">
        <v>1282</v>
      </c>
      <c r="D325" s="72" t="s">
        <v>1318</v>
      </c>
      <c r="E325" s="72" t="s">
        <v>1303</v>
      </c>
      <c r="F325" s="81" t="s">
        <v>1311</v>
      </c>
      <c r="G325" s="74" t="s">
        <v>3</v>
      </c>
      <c r="H325" s="64"/>
      <c r="I325" s="64"/>
      <c r="J325" s="64"/>
      <c r="K325" s="64"/>
      <c r="L325" s="64"/>
      <c r="M325" s="64"/>
      <c r="N325" s="64"/>
      <c r="O325" s="64"/>
      <c r="P325" s="64"/>
      <c r="Q325" s="64"/>
      <c r="R325" s="64"/>
      <c r="S325" s="64"/>
      <c r="T325" s="64"/>
      <c r="U325" s="64"/>
      <c r="V325" s="64"/>
      <c r="W325" s="64"/>
      <c r="X325" s="64"/>
      <c r="Y325" s="64"/>
      <c r="Z325" s="64"/>
    </row>
    <row r="326">
      <c r="A326" s="72" t="s">
        <v>581</v>
      </c>
      <c r="B326" s="72" t="s">
        <v>1319</v>
      </c>
      <c r="C326" s="72" t="s">
        <v>1282</v>
      </c>
      <c r="D326" s="72" t="s">
        <v>1320</v>
      </c>
      <c r="E326" s="72" t="s">
        <v>1293</v>
      </c>
      <c r="F326" s="80"/>
      <c r="G326" s="74" t="s">
        <v>3</v>
      </c>
      <c r="H326" s="64"/>
      <c r="I326" s="64"/>
      <c r="J326" s="64"/>
      <c r="K326" s="64"/>
      <c r="L326" s="64"/>
      <c r="M326" s="64"/>
      <c r="N326" s="64"/>
      <c r="O326" s="64"/>
      <c r="P326" s="64"/>
      <c r="Q326" s="64"/>
      <c r="R326" s="64"/>
      <c r="S326" s="64"/>
      <c r="T326" s="64"/>
      <c r="U326" s="64"/>
      <c r="V326" s="64"/>
      <c r="W326" s="64"/>
      <c r="X326" s="64"/>
      <c r="Y326" s="64"/>
      <c r="Z326" s="64"/>
    </row>
    <row r="327">
      <c r="A327" s="72" t="s">
        <v>587</v>
      </c>
      <c r="B327" s="72" t="s">
        <v>1321</v>
      </c>
      <c r="C327" s="72" t="s">
        <v>1282</v>
      </c>
      <c r="D327" s="72" t="s">
        <v>1322</v>
      </c>
      <c r="E327" s="72" t="s">
        <v>1310</v>
      </c>
      <c r="F327" s="81" t="s">
        <v>1311</v>
      </c>
      <c r="G327" s="74" t="s">
        <v>3</v>
      </c>
      <c r="H327" s="64"/>
      <c r="I327" s="64"/>
      <c r="J327" s="64"/>
      <c r="K327" s="64"/>
      <c r="L327" s="64"/>
      <c r="M327" s="64"/>
      <c r="N327" s="64"/>
      <c r="O327" s="64"/>
      <c r="P327" s="64"/>
      <c r="Q327" s="64"/>
      <c r="R327" s="64"/>
      <c r="S327" s="64"/>
      <c r="T327" s="64"/>
      <c r="U327" s="64"/>
      <c r="V327" s="64"/>
      <c r="W327" s="64"/>
      <c r="X327" s="64"/>
      <c r="Y327" s="64"/>
      <c r="Z327" s="64"/>
    </row>
    <row r="328">
      <c r="A328" s="72" t="s">
        <v>591</v>
      </c>
      <c r="B328" s="72" t="s">
        <v>1323</v>
      </c>
      <c r="C328" s="72" t="s">
        <v>1282</v>
      </c>
      <c r="D328" s="72" t="s">
        <v>1324</v>
      </c>
      <c r="E328" s="72" t="s">
        <v>1303</v>
      </c>
      <c r="F328" s="80"/>
      <c r="G328" s="74" t="s">
        <v>3</v>
      </c>
      <c r="H328" s="64"/>
      <c r="I328" s="64"/>
      <c r="J328" s="64"/>
      <c r="K328" s="64"/>
      <c r="L328" s="64"/>
      <c r="M328" s="64"/>
      <c r="N328" s="64"/>
      <c r="O328" s="64"/>
      <c r="P328" s="64"/>
      <c r="Q328" s="64"/>
      <c r="R328" s="64"/>
      <c r="S328" s="64"/>
      <c r="T328" s="64"/>
      <c r="U328" s="64"/>
      <c r="V328" s="64"/>
      <c r="W328" s="64"/>
      <c r="X328" s="64"/>
      <c r="Y328" s="64"/>
      <c r="Z328" s="64"/>
    </row>
    <row r="329">
      <c r="A329" s="72" t="s">
        <v>595</v>
      </c>
      <c r="B329" s="72" t="s">
        <v>1325</v>
      </c>
      <c r="C329" s="72" t="s">
        <v>1282</v>
      </c>
      <c r="D329" s="72" t="s">
        <v>1326</v>
      </c>
      <c r="E329" s="72" t="s">
        <v>1327</v>
      </c>
      <c r="F329" s="80"/>
      <c r="G329" s="74" t="s">
        <v>3</v>
      </c>
      <c r="H329" s="64"/>
      <c r="I329" s="64"/>
      <c r="J329" s="64"/>
      <c r="K329" s="64"/>
      <c r="L329" s="64"/>
      <c r="M329" s="64"/>
      <c r="N329" s="64"/>
      <c r="O329" s="64"/>
      <c r="P329" s="64"/>
      <c r="Q329" s="64"/>
      <c r="R329" s="64"/>
      <c r="S329" s="64"/>
      <c r="T329" s="64"/>
      <c r="U329" s="64"/>
      <c r="V329" s="64"/>
      <c r="W329" s="64"/>
      <c r="X329" s="64"/>
      <c r="Y329" s="64"/>
      <c r="Z329" s="64"/>
    </row>
    <row r="330">
      <c r="A330" s="72" t="s">
        <v>600</v>
      </c>
      <c r="B330" s="72" t="s">
        <v>1328</v>
      </c>
      <c r="C330" s="72" t="s">
        <v>1282</v>
      </c>
      <c r="D330" s="72" t="s">
        <v>1329</v>
      </c>
      <c r="E330" s="72" t="s">
        <v>1303</v>
      </c>
      <c r="F330" s="80"/>
      <c r="G330" s="74" t="s">
        <v>3</v>
      </c>
      <c r="H330" s="64"/>
      <c r="I330" s="64"/>
      <c r="J330" s="64"/>
      <c r="K330" s="64"/>
      <c r="L330" s="64"/>
      <c r="M330" s="64"/>
      <c r="N330" s="64"/>
      <c r="O330" s="64"/>
      <c r="P330" s="64"/>
      <c r="Q330" s="64"/>
      <c r="R330" s="64"/>
      <c r="S330" s="64"/>
      <c r="T330" s="64"/>
      <c r="U330" s="64"/>
      <c r="V330" s="64"/>
      <c r="W330" s="64"/>
      <c r="X330" s="64"/>
      <c r="Y330" s="64"/>
      <c r="Z330" s="64"/>
    </row>
    <row r="331">
      <c r="A331" s="72" t="s">
        <v>605</v>
      </c>
      <c r="B331" s="72" t="s">
        <v>1330</v>
      </c>
      <c r="C331" s="72" t="s">
        <v>1282</v>
      </c>
      <c r="D331" s="72" t="s">
        <v>1318</v>
      </c>
      <c r="E331" s="72" t="s">
        <v>1303</v>
      </c>
      <c r="F331" s="81" t="s">
        <v>1311</v>
      </c>
      <c r="G331" s="74" t="s">
        <v>3</v>
      </c>
      <c r="H331" s="64"/>
      <c r="I331" s="64"/>
      <c r="J331" s="64"/>
      <c r="K331" s="64"/>
      <c r="L331" s="64"/>
      <c r="M331" s="64"/>
      <c r="N331" s="64"/>
      <c r="O331" s="64"/>
      <c r="P331" s="64"/>
      <c r="Q331" s="64"/>
      <c r="R331" s="64"/>
      <c r="S331" s="64"/>
      <c r="T331" s="64"/>
      <c r="U331" s="64"/>
      <c r="V331" s="64"/>
      <c r="W331" s="64"/>
      <c r="X331" s="64"/>
      <c r="Y331" s="64"/>
      <c r="Z331" s="64"/>
    </row>
    <row r="332">
      <c r="A332" s="72" t="s">
        <v>610</v>
      </c>
      <c r="B332" s="72" t="s">
        <v>1331</v>
      </c>
      <c r="C332" s="72" t="s">
        <v>1282</v>
      </c>
      <c r="D332" s="72" t="s">
        <v>1332</v>
      </c>
      <c r="E332" s="72" t="s">
        <v>1293</v>
      </c>
      <c r="F332" s="80"/>
      <c r="G332" s="74" t="s">
        <v>3</v>
      </c>
      <c r="H332" s="64"/>
      <c r="I332" s="64"/>
      <c r="J332" s="64"/>
      <c r="K332" s="64"/>
      <c r="L332" s="64"/>
      <c r="M332" s="64"/>
      <c r="N332" s="64"/>
      <c r="O332" s="64"/>
      <c r="P332" s="64"/>
      <c r="Q332" s="64"/>
      <c r="R332" s="64"/>
      <c r="S332" s="64"/>
      <c r="T332" s="64"/>
      <c r="U332" s="64"/>
      <c r="V332" s="64"/>
      <c r="W332" s="64"/>
      <c r="X332" s="64"/>
      <c r="Y332" s="64"/>
      <c r="Z332" s="64"/>
    </row>
    <row r="333">
      <c r="A333" s="72" t="s">
        <v>614</v>
      </c>
      <c r="B333" s="72" t="s">
        <v>1333</v>
      </c>
      <c r="C333" s="72" t="s">
        <v>1282</v>
      </c>
      <c r="D333" s="72" t="s">
        <v>1334</v>
      </c>
      <c r="E333" s="72" t="s">
        <v>1310</v>
      </c>
      <c r="F333" s="81" t="s">
        <v>1311</v>
      </c>
      <c r="G333" s="74" t="s">
        <v>3</v>
      </c>
      <c r="H333" s="64"/>
      <c r="I333" s="64"/>
      <c r="J333" s="64"/>
      <c r="K333" s="64"/>
      <c r="L333" s="64"/>
      <c r="M333" s="64"/>
      <c r="N333" s="64"/>
      <c r="O333" s="64"/>
      <c r="P333" s="64"/>
      <c r="Q333" s="64"/>
      <c r="R333" s="64"/>
      <c r="S333" s="64"/>
      <c r="T333" s="64"/>
      <c r="U333" s="64"/>
      <c r="V333" s="64"/>
      <c r="W333" s="64"/>
      <c r="X333" s="64"/>
      <c r="Y333" s="64"/>
      <c r="Z333" s="64"/>
    </row>
    <row r="334">
      <c r="A334" s="72" t="s">
        <v>618</v>
      </c>
      <c r="B334" s="72" t="s">
        <v>1335</v>
      </c>
      <c r="C334" s="72" t="s">
        <v>1282</v>
      </c>
      <c r="D334" s="72" t="s">
        <v>1318</v>
      </c>
      <c r="E334" s="72" t="s">
        <v>1303</v>
      </c>
      <c r="F334" s="80"/>
      <c r="G334" s="74" t="s">
        <v>3</v>
      </c>
      <c r="H334" s="64"/>
      <c r="I334" s="64"/>
      <c r="J334" s="64"/>
      <c r="K334" s="64"/>
      <c r="L334" s="64"/>
      <c r="M334" s="64"/>
      <c r="N334" s="64"/>
      <c r="O334" s="64"/>
      <c r="P334" s="64"/>
      <c r="Q334" s="64"/>
      <c r="R334" s="64"/>
      <c r="S334" s="64"/>
      <c r="T334" s="64"/>
      <c r="U334" s="64"/>
      <c r="V334" s="64"/>
      <c r="W334" s="64"/>
      <c r="X334" s="64"/>
      <c r="Y334" s="64"/>
      <c r="Z334" s="64"/>
    </row>
    <row r="335">
      <c r="A335" s="72" t="s">
        <v>623</v>
      </c>
      <c r="B335" s="72" t="s">
        <v>1336</v>
      </c>
      <c r="C335" s="72" t="s">
        <v>1282</v>
      </c>
      <c r="D335" s="72" t="s">
        <v>1337</v>
      </c>
      <c r="E335" s="72" t="s">
        <v>1303</v>
      </c>
      <c r="F335" s="80"/>
      <c r="G335" s="74" t="s">
        <v>3</v>
      </c>
      <c r="H335" s="64"/>
      <c r="I335" s="64"/>
      <c r="J335" s="64"/>
      <c r="K335" s="64"/>
      <c r="L335" s="64"/>
      <c r="M335" s="64"/>
      <c r="N335" s="64"/>
      <c r="O335" s="64"/>
      <c r="P335" s="64"/>
      <c r="Q335" s="64"/>
      <c r="R335" s="64"/>
      <c r="S335" s="64"/>
      <c r="T335" s="64"/>
      <c r="U335" s="64"/>
      <c r="V335" s="64"/>
      <c r="W335" s="64"/>
      <c r="X335" s="64"/>
      <c r="Y335" s="64"/>
      <c r="Z335" s="64"/>
    </row>
    <row r="336">
      <c r="A336" s="72" t="s">
        <v>633</v>
      </c>
      <c r="B336" s="72" t="s">
        <v>1338</v>
      </c>
      <c r="C336" s="72" t="s">
        <v>1282</v>
      </c>
      <c r="D336" s="72" t="s">
        <v>1339</v>
      </c>
      <c r="E336" s="72" t="s">
        <v>1303</v>
      </c>
      <c r="F336" s="80"/>
      <c r="G336" s="74" t="s">
        <v>3</v>
      </c>
      <c r="H336" s="64"/>
      <c r="I336" s="64"/>
      <c r="J336" s="64"/>
      <c r="K336" s="64"/>
      <c r="L336" s="64"/>
      <c r="M336" s="64"/>
      <c r="N336" s="64"/>
      <c r="O336" s="64"/>
      <c r="P336" s="64"/>
      <c r="Q336" s="64"/>
      <c r="R336" s="64"/>
      <c r="S336" s="64"/>
      <c r="T336" s="64"/>
      <c r="U336" s="64"/>
      <c r="V336" s="64"/>
      <c r="W336" s="64"/>
      <c r="X336" s="64"/>
      <c r="Y336" s="64"/>
      <c r="Z336" s="64"/>
    </row>
    <row r="337">
      <c r="A337" s="72" t="s">
        <v>637</v>
      </c>
      <c r="B337" s="72" t="s">
        <v>1340</v>
      </c>
      <c r="C337" s="72" t="s">
        <v>1282</v>
      </c>
      <c r="D337" s="72" t="s">
        <v>1341</v>
      </c>
      <c r="E337" s="72" t="s">
        <v>1342</v>
      </c>
      <c r="F337" s="80"/>
      <c r="G337" s="74" t="s">
        <v>3</v>
      </c>
      <c r="H337" s="64"/>
      <c r="I337" s="64"/>
      <c r="J337" s="64"/>
      <c r="K337" s="64"/>
      <c r="L337" s="64"/>
      <c r="M337" s="64"/>
      <c r="N337" s="64"/>
      <c r="O337" s="64"/>
      <c r="P337" s="64"/>
      <c r="Q337" s="64"/>
      <c r="R337" s="64"/>
      <c r="S337" s="64"/>
      <c r="T337" s="64"/>
      <c r="U337" s="64"/>
      <c r="V337" s="64"/>
      <c r="W337" s="64"/>
      <c r="X337" s="64"/>
      <c r="Y337" s="64"/>
      <c r="Z337" s="64"/>
    </row>
    <row r="338">
      <c r="A338" s="72" t="s">
        <v>642</v>
      </c>
      <c r="B338" s="72" t="s">
        <v>1343</v>
      </c>
      <c r="C338" s="72" t="s">
        <v>1282</v>
      </c>
      <c r="D338" s="72" t="s">
        <v>1344</v>
      </c>
      <c r="E338" s="72" t="s">
        <v>1303</v>
      </c>
      <c r="F338" s="80"/>
      <c r="G338" s="74" t="s">
        <v>3</v>
      </c>
      <c r="H338" s="64"/>
      <c r="I338" s="64"/>
      <c r="J338" s="64"/>
      <c r="K338" s="64"/>
      <c r="L338" s="64"/>
      <c r="M338" s="64"/>
      <c r="N338" s="64"/>
      <c r="O338" s="64"/>
      <c r="P338" s="64"/>
      <c r="Q338" s="64"/>
      <c r="R338" s="64"/>
      <c r="S338" s="64"/>
      <c r="T338" s="64"/>
      <c r="U338" s="64"/>
      <c r="V338" s="64"/>
      <c r="W338" s="64"/>
      <c r="X338" s="64"/>
      <c r="Y338" s="64"/>
      <c r="Z338" s="64"/>
    </row>
    <row r="339">
      <c r="A339" s="72" t="s">
        <v>645</v>
      </c>
      <c r="B339" s="72" t="s">
        <v>1345</v>
      </c>
      <c r="C339" s="72" t="s">
        <v>1282</v>
      </c>
      <c r="D339" s="72" t="s">
        <v>1346</v>
      </c>
      <c r="E339" s="72" t="s">
        <v>1342</v>
      </c>
      <c r="F339" s="80"/>
      <c r="G339" s="74" t="s">
        <v>3</v>
      </c>
      <c r="H339" s="64"/>
      <c r="I339" s="64"/>
      <c r="J339" s="64"/>
      <c r="K339" s="64"/>
      <c r="L339" s="64"/>
      <c r="M339" s="64"/>
      <c r="N339" s="64"/>
      <c r="O339" s="64"/>
      <c r="P339" s="64"/>
      <c r="Q339" s="64"/>
      <c r="R339" s="64"/>
      <c r="S339" s="64"/>
      <c r="T339" s="64"/>
      <c r="U339" s="64"/>
      <c r="V339" s="64"/>
      <c r="W339" s="64"/>
      <c r="X339" s="64"/>
      <c r="Y339" s="64"/>
      <c r="Z339" s="64"/>
    </row>
    <row r="340">
      <c r="A340" s="72" t="s">
        <v>649</v>
      </c>
      <c r="B340" s="72" t="s">
        <v>1347</v>
      </c>
      <c r="C340" s="72" t="s">
        <v>1282</v>
      </c>
      <c r="D340" s="72" t="s">
        <v>1348</v>
      </c>
      <c r="E340" s="72" t="s">
        <v>1303</v>
      </c>
      <c r="F340" s="80"/>
      <c r="G340" s="74" t="s">
        <v>3</v>
      </c>
      <c r="H340" s="64"/>
      <c r="I340" s="64"/>
      <c r="J340" s="64"/>
      <c r="K340" s="64"/>
      <c r="L340" s="64"/>
      <c r="M340" s="64"/>
      <c r="N340" s="64"/>
      <c r="O340" s="64"/>
      <c r="P340" s="64"/>
      <c r="Q340" s="64"/>
      <c r="R340" s="64"/>
      <c r="S340" s="64"/>
      <c r="T340" s="64"/>
      <c r="U340" s="64"/>
      <c r="V340" s="64"/>
      <c r="W340" s="64"/>
      <c r="X340" s="64"/>
      <c r="Y340" s="64"/>
      <c r="Z340" s="64"/>
    </row>
    <row r="341">
      <c r="A341" s="72" t="s">
        <v>654</v>
      </c>
      <c r="B341" s="72" t="s">
        <v>1349</v>
      </c>
      <c r="C341" s="72" t="s">
        <v>1282</v>
      </c>
      <c r="D341" s="72" t="s">
        <v>1350</v>
      </c>
      <c r="E341" s="72" t="s">
        <v>1303</v>
      </c>
      <c r="F341" s="80"/>
      <c r="G341" s="74" t="s">
        <v>3</v>
      </c>
      <c r="H341" s="64"/>
      <c r="I341" s="64"/>
      <c r="J341" s="64"/>
      <c r="K341" s="64"/>
      <c r="L341" s="64"/>
      <c r="M341" s="64"/>
      <c r="N341" s="64"/>
      <c r="O341" s="64"/>
      <c r="P341" s="64"/>
      <c r="Q341" s="64"/>
      <c r="R341" s="64"/>
      <c r="S341" s="64"/>
      <c r="T341" s="64"/>
      <c r="U341" s="64"/>
      <c r="V341" s="64"/>
      <c r="W341" s="64"/>
      <c r="X341" s="64"/>
      <c r="Y341" s="64"/>
      <c r="Z341" s="64"/>
    </row>
    <row r="342">
      <c r="A342" s="72" t="s">
        <v>658</v>
      </c>
      <c r="B342" s="72" t="s">
        <v>1351</v>
      </c>
      <c r="C342" s="72" t="s">
        <v>1282</v>
      </c>
      <c r="D342" s="72" t="s">
        <v>1352</v>
      </c>
      <c r="E342" s="72" t="s">
        <v>1353</v>
      </c>
      <c r="F342" s="80"/>
      <c r="G342" s="74" t="s">
        <v>3</v>
      </c>
      <c r="H342" s="64"/>
      <c r="I342" s="64"/>
      <c r="J342" s="64"/>
      <c r="K342" s="64"/>
      <c r="L342" s="64"/>
      <c r="M342" s="64"/>
      <c r="N342" s="64"/>
      <c r="O342" s="64"/>
      <c r="P342" s="64"/>
      <c r="Q342" s="64"/>
      <c r="R342" s="64"/>
      <c r="S342" s="64"/>
      <c r="T342" s="64"/>
      <c r="U342" s="64"/>
      <c r="V342" s="64"/>
      <c r="W342" s="64"/>
      <c r="X342" s="64"/>
      <c r="Y342" s="64"/>
      <c r="Z342" s="64"/>
    </row>
    <row r="343">
      <c r="A343" s="72" t="s">
        <v>662</v>
      </c>
      <c r="B343" s="72" t="s">
        <v>1354</v>
      </c>
      <c r="C343" s="72" t="s">
        <v>1282</v>
      </c>
      <c r="D343" s="72" t="s">
        <v>1355</v>
      </c>
      <c r="E343" s="72" t="s">
        <v>1356</v>
      </c>
      <c r="F343" s="80"/>
      <c r="G343" s="74" t="s">
        <v>3</v>
      </c>
      <c r="H343" s="64"/>
      <c r="I343" s="64"/>
      <c r="J343" s="64"/>
      <c r="K343" s="64"/>
      <c r="L343" s="64"/>
      <c r="M343" s="64"/>
      <c r="N343" s="64"/>
      <c r="O343" s="64"/>
      <c r="P343" s="64"/>
      <c r="Q343" s="64"/>
      <c r="R343" s="64"/>
      <c r="S343" s="64"/>
      <c r="T343" s="64"/>
      <c r="U343" s="64"/>
      <c r="V343" s="64"/>
      <c r="W343" s="64"/>
      <c r="X343" s="64"/>
      <c r="Y343" s="64"/>
      <c r="Z343" s="64"/>
    </row>
    <row r="344">
      <c r="A344" s="72" t="s">
        <v>666</v>
      </c>
      <c r="B344" s="72" t="s">
        <v>1357</v>
      </c>
      <c r="C344" s="72" t="s">
        <v>1282</v>
      </c>
      <c r="D344" s="72" t="s">
        <v>1358</v>
      </c>
      <c r="E344" s="72" t="s">
        <v>1356</v>
      </c>
      <c r="F344" s="80"/>
      <c r="G344" s="74" t="s">
        <v>3</v>
      </c>
      <c r="H344" s="64"/>
      <c r="I344" s="64"/>
      <c r="J344" s="64"/>
      <c r="K344" s="64"/>
      <c r="L344" s="64"/>
      <c r="M344" s="64"/>
      <c r="N344" s="64"/>
      <c r="O344" s="64"/>
      <c r="P344" s="64"/>
      <c r="Q344" s="64"/>
      <c r="R344" s="64"/>
      <c r="S344" s="64"/>
      <c r="T344" s="64"/>
      <c r="U344" s="64"/>
      <c r="V344" s="64"/>
      <c r="W344" s="64"/>
      <c r="X344" s="64"/>
      <c r="Y344" s="64"/>
      <c r="Z344" s="64"/>
    </row>
    <row r="345">
      <c r="A345" s="72" t="s">
        <v>687</v>
      </c>
      <c r="B345" s="72" t="s">
        <v>1359</v>
      </c>
      <c r="C345" s="72" t="s">
        <v>1282</v>
      </c>
      <c r="D345" s="72" t="s">
        <v>1360</v>
      </c>
      <c r="E345" s="72" t="s">
        <v>1303</v>
      </c>
      <c r="F345" s="80"/>
      <c r="G345" s="74" t="s">
        <v>3</v>
      </c>
      <c r="H345" s="64"/>
      <c r="I345" s="64"/>
      <c r="J345" s="64"/>
      <c r="K345" s="64"/>
      <c r="L345" s="64"/>
      <c r="M345" s="64"/>
      <c r="N345" s="64"/>
      <c r="O345" s="64"/>
      <c r="P345" s="64"/>
      <c r="Q345" s="64"/>
      <c r="R345" s="64"/>
      <c r="S345" s="64"/>
      <c r="T345" s="64"/>
      <c r="U345" s="64"/>
      <c r="V345" s="64"/>
      <c r="W345" s="64"/>
      <c r="X345" s="64"/>
      <c r="Y345" s="64"/>
      <c r="Z345" s="64"/>
    </row>
    <row r="346">
      <c r="A346" s="72" t="s">
        <v>704</v>
      </c>
      <c r="B346" s="72" t="s">
        <v>1361</v>
      </c>
      <c r="C346" s="72" t="s">
        <v>1282</v>
      </c>
      <c r="D346" s="72" t="s">
        <v>1362</v>
      </c>
      <c r="E346" s="72" t="s">
        <v>1363</v>
      </c>
      <c r="F346" s="80"/>
      <c r="G346" s="74" t="s">
        <v>3</v>
      </c>
      <c r="H346" s="64"/>
      <c r="I346" s="64"/>
      <c r="J346" s="64"/>
      <c r="K346" s="64"/>
      <c r="L346" s="64"/>
      <c r="M346" s="64"/>
      <c r="N346" s="64"/>
      <c r="O346" s="64"/>
      <c r="P346" s="64"/>
      <c r="Q346" s="64"/>
      <c r="R346" s="64"/>
      <c r="S346" s="64"/>
      <c r="T346" s="64"/>
      <c r="U346" s="64"/>
      <c r="V346" s="64"/>
      <c r="W346" s="64"/>
      <c r="X346" s="64"/>
      <c r="Y346" s="64"/>
      <c r="Z346" s="64"/>
    </row>
    <row r="347">
      <c r="A347" s="72" t="s">
        <v>707</v>
      </c>
      <c r="B347" s="72" t="s">
        <v>1364</v>
      </c>
      <c r="C347" s="72" t="s">
        <v>1282</v>
      </c>
      <c r="D347" s="72" t="s">
        <v>1365</v>
      </c>
      <c r="E347" s="72" t="s">
        <v>1366</v>
      </c>
      <c r="F347" s="80"/>
      <c r="G347" s="74" t="s">
        <v>3</v>
      </c>
      <c r="H347" s="64"/>
      <c r="I347" s="64"/>
      <c r="J347" s="64"/>
      <c r="K347" s="64"/>
      <c r="L347" s="64"/>
      <c r="M347" s="64"/>
      <c r="N347" s="64"/>
      <c r="O347" s="64"/>
      <c r="P347" s="64"/>
      <c r="Q347" s="64"/>
      <c r="R347" s="64"/>
      <c r="S347" s="64"/>
      <c r="T347" s="64"/>
      <c r="U347" s="64"/>
      <c r="V347" s="64"/>
      <c r="W347" s="64"/>
      <c r="X347" s="64"/>
      <c r="Y347" s="64"/>
      <c r="Z347" s="64"/>
    </row>
    <row r="348">
      <c r="A348" s="72" t="s">
        <v>711</v>
      </c>
      <c r="B348" s="72" t="s">
        <v>1367</v>
      </c>
      <c r="C348" s="72" t="s">
        <v>1368</v>
      </c>
      <c r="D348" s="72" t="s">
        <v>1369</v>
      </c>
      <c r="E348" s="72" t="s">
        <v>1370</v>
      </c>
      <c r="F348" s="107" t="s">
        <v>1371</v>
      </c>
      <c r="G348" s="74" t="s">
        <v>5</v>
      </c>
      <c r="H348" s="64"/>
      <c r="I348" s="64"/>
      <c r="J348" s="64"/>
      <c r="K348" s="64"/>
      <c r="L348" s="64"/>
      <c r="M348" s="64"/>
      <c r="N348" s="64"/>
      <c r="O348" s="64"/>
      <c r="P348" s="64"/>
      <c r="Q348" s="64"/>
      <c r="R348" s="64"/>
      <c r="S348" s="64"/>
      <c r="T348" s="64"/>
      <c r="U348" s="64"/>
      <c r="V348" s="64"/>
      <c r="W348" s="64"/>
      <c r="X348" s="64"/>
      <c r="Y348" s="64"/>
      <c r="Z348" s="64"/>
    </row>
    <row r="349">
      <c r="A349" s="72" t="s">
        <v>717</v>
      </c>
      <c r="B349" s="72" t="s">
        <v>1372</v>
      </c>
      <c r="C349" s="72" t="s">
        <v>1282</v>
      </c>
      <c r="D349" s="72" t="s">
        <v>1373</v>
      </c>
      <c r="E349" s="72" t="s">
        <v>1374</v>
      </c>
      <c r="F349" s="80"/>
      <c r="G349" s="74" t="s">
        <v>3</v>
      </c>
      <c r="H349" s="64"/>
      <c r="I349" s="64"/>
      <c r="J349" s="64"/>
      <c r="K349" s="64"/>
      <c r="L349" s="64"/>
      <c r="M349" s="64"/>
      <c r="N349" s="64"/>
      <c r="O349" s="64"/>
      <c r="P349" s="64"/>
      <c r="Q349" s="64"/>
      <c r="R349" s="64"/>
      <c r="S349" s="64"/>
      <c r="T349" s="64"/>
      <c r="U349" s="64"/>
      <c r="V349" s="64"/>
      <c r="W349" s="64"/>
      <c r="X349" s="64"/>
      <c r="Y349" s="64"/>
      <c r="Z349" s="64"/>
    </row>
    <row r="350">
      <c r="A350" s="72" t="s">
        <v>720</v>
      </c>
      <c r="B350" s="72" t="s">
        <v>1375</v>
      </c>
      <c r="C350" s="72" t="s">
        <v>1282</v>
      </c>
      <c r="D350" s="72" t="s">
        <v>1376</v>
      </c>
      <c r="E350" s="72" t="s">
        <v>1377</v>
      </c>
      <c r="F350" s="80"/>
      <c r="G350" s="74" t="s">
        <v>3</v>
      </c>
      <c r="H350" s="64"/>
      <c r="I350" s="64"/>
      <c r="J350" s="64"/>
      <c r="K350" s="64"/>
      <c r="L350" s="64"/>
      <c r="M350" s="64"/>
      <c r="N350" s="64"/>
      <c r="O350" s="64"/>
      <c r="P350" s="64"/>
      <c r="Q350" s="64"/>
      <c r="R350" s="64"/>
      <c r="S350" s="64"/>
      <c r="T350" s="64"/>
      <c r="U350" s="64"/>
      <c r="V350" s="64"/>
      <c r="W350" s="64"/>
      <c r="X350" s="64"/>
      <c r="Y350" s="64"/>
      <c r="Z350" s="64"/>
    </row>
    <row r="351">
      <c r="A351" s="104"/>
      <c r="B351" s="105" t="s">
        <v>1378</v>
      </c>
      <c r="C351" s="104"/>
      <c r="D351" s="104"/>
      <c r="E351" s="104"/>
      <c r="F351" s="69"/>
      <c r="G351" s="69"/>
      <c r="H351" s="64"/>
      <c r="I351" s="64"/>
      <c r="J351" s="64"/>
      <c r="K351" s="64"/>
      <c r="L351" s="64"/>
      <c r="M351" s="64"/>
      <c r="N351" s="64"/>
      <c r="O351" s="64"/>
      <c r="P351" s="64"/>
      <c r="Q351" s="64"/>
      <c r="R351" s="64"/>
      <c r="S351" s="64"/>
      <c r="T351" s="64"/>
      <c r="U351" s="64"/>
      <c r="V351" s="64"/>
      <c r="W351" s="64"/>
      <c r="X351" s="64"/>
      <c r="Y351" s="64"/>
      <c r="Z351" s="64"/>
    </row>
    <row r="352">
      <c r="A352" s="72" t="s">
        <v>724</v>
      </c>
      <c r="B352" s="72" t="s">
        <v>1379</v>
      </c>
      <c r="C352" s="72" t="s">
        <v>1380</v>
      </c>
      <c r="D352" s="72" t="s">
        <v>1381</v>
      </c>
      <c r="E352" s="72" t="s">
        <v>1303</v>
      </c>
      <c r="F352" s="80"/>
      <c r="G352" s="108" t="s">
        <v>3</v>
      </c>
      <c r="H352" s="64"/>
      <c r="I352" s="64"/>
      <c r="J352" s="64"/>
      <c r="K352" s="64"/>
      <c r="L352" s="64"/>
      <c r="M352" s="64"/>
      <c r="N352" s="64"/>
      <c r="O352" s="64"/>
      <c r="P352" s="64"/>
      <c r="Q352" s="64"/>
      <c r="R352" s="64"/>
      <c r="S352" s="64"/>
      <c r="T352" s="64"/>
      <c r="U352" s="64"/>
      <c r="V352" s="64"/>
      <c r="W352" s="64"/>
      <c r="X352" s="64"/>
      <c r="Y352" s="64"/>
      <c r="Z352" s="64"/>
    </row>
    <row r="353">
      <c r="A353" s="72" t="s">
        <v>732</v>
      </c>
      <c r="B353" s="72" t="s">
        <v>1382</v>
      </c>
      <c r="C353" s="72" t="s">
        <v>1380</v>
      </c>
      <c r="D353" s="72" t="s">
        <v>1383</v>
      </c>
      <c r="E353" s="72" t="s">
        <v>1303</v>
      </c>
      <c r="F353" s="80"/>
      <c r="G353" s="108" t="s">
        <v>3</v>
      </c>
      <c r="H353" s="64"/>
      <c r="I353" s="64"/>
      <c r="J353" s="64"/>
      <c r="K353" s="64"/>
      <c r="L353" s="64"/>
      <c r="M353" s="64"/>
      <c r="N353" s="64"/>
      <c r="O353" s="64"/>
      <c r="P353" s="64"/>
      <c r="Q353" s="64"/>
      <c r="R353" s="64"/>
      <c r="S353" s="64"/>
      <c r="T353" s="64"/>
      <c r="U353" s="64"/>
      <c r="V353" s="64"/>
      <c r="W353" s="64"/>
      <c r="X353" s="64"/>
      <c r="Y353" s="64"/>
      <c r="Z353" s="64"/>
    </row>
    <row r="354">
      <c r="A354" s="72" t="s">
        <v>736</v>
      </c>
      <c r="B354" s="72" t="s">
        <v>1384</v>
      </c>
      <c r="C354" s="72" t="s">
        <v>1380</v>
      </c>
      <c r="D354" s="72" t="s">
        <v>1385</v>
      </c>
      <c r="E354" s="72" t="s">
        <v>1303</v>
      </c>
      <c r="F354" s="80"/>
      <c r="G354" s="108" t="s">
        <v>3</v>
      </c>
      <c r="H354" s="64"/>
      <c r="I354" s="64"/>
      <c r="J354" s="64"/>
      <c r="K354" s="64"/>
      <c r="L354" s="64"/>
      <c r="M354" s="64"/>
      <c r="N354" s="64"/>
      <c r="O354" s="64"/>
      <c r="P354" s="64"/>
      <c r="Q354" s="64"/>
      <c r="R354" s="64"/>
      <c r="S354" s="64"/>
      <c r="T354" s="64"/>
      <c r="U354" s="64"/>
      <c r="V354" s="64"/>
      <c r="W354" s="64"/>
      <c r="X354" s="64"/>
      <c r="Y354" s="64"/>
      <c r="Z354" s="64"/>
    </row>
    <row r="355">
      <c r="A355" s="72" t="s">
        <v>741</v>
      </c>
      <c r="B355" s="72" t="s">
        <v>1386</v>
      </c>
      <c r="C355" s="72" t="s">
        <v>1380</v>
      </c>
      <c r="D355" s="72" t="s">
        <v>1387</v>
      </c>
      <c r="E355" s="72" t="s">
        <v>1303</v>
      </c>
      <c r="F355" s="80"/>
      <c r="G355" s="108" t="s">
        <v>3</v>
      </c>
      <c r="H355" s="64"/>
      <c r="I355" s="64"/>
      <c r="J355" s="64"/>
      <c r="K355" s="64"/>
      <c r="L355" s="64"/>
      <c r="M355" s="64"/>
      <c r="N355" s="64"/>
      <c r="O355" s="64"/>
      <c r="P355" s="64"/>
      <c r="Q355" s="64"/>
      <c r="R355" s="64"/>
      <c r="S355" s="64"/>
      <c r="T355" s="64"/>
      <c r="U355" s="64"/>
      <c r="V355" s="64"/>
      <c r="W355" s="64"/>
      <c r="X355" s="64"/>
      <c r="Y355" s="64"/>
      <c r="Z355" s="64"/>
    </row>
    <row r="356">
      <c r="A356" s="72" t="s">
        <v>744</v>
      </c>
      <c r="B356" s="72" t="s">
        <v>1388</v>
      </c>
      <c r="C356" s="72" t="s">
        <v>1380</v>
      </c>
      <c r="D356" s="72" t="s">
        <v>1389</v>
      </c>
      <c r="E356" s="72" t="s">
        <v>1303</v>
      </c>
      <c r="F356" s="80"/>
      <c r="G356" s="108" t="s">
        <v>3</v>
      </c>
      <c r="H356" s="64"/>
      <c r="I356" s="64"/>
      <c r="J356" s="64"/>
      <c r="K356" s="64"/>
      <c r="L356" s="64"/>
      <c r="M356" s="64"/>
      <c r="N356" s="64"/>
      <c r="O356" s="64"/>
      <c r="P356" s="64"/>
      <c r="Q356" s="64"/>
      <c r="R356" s="64"/>
      <c r="S356" s="64"/>
      <c r="T356" s="64"/>
      <c r="U356" s="64"/>
      <c r="V356" s="64"/>
      <c r="W356" s="64"/>
      <c r="X356" s="64"/>
      <c r="Y356" s="64"/>
      <c r="Z356" s="64"/>
    </row>
    <row r="357">
      <c r="A357" s="72" t="s">
        <v>761</v>
      </c>
      <c r="B357" s="72" t="s">
        <v>1390</v>
      </c>
      <c r="C357" s="72" t="s">
        <v>1380</v>
      </c>
      <c r="D357" s="72" t="s">
        <v>1391</v>
      </c>
      <c r="E357" s="72" t="s">
        <v>1303</v>
      </c>
      <c r="F357" s="80"/>
      <c r="G357" s="108" t="s">
        <v>3</v>
      </c>
      <c r="H357" s="64"/>
      <c r="I357" s="64"/>
      <c r="J357" s="64"/>
      <c r="K357" s="64"/>
      <c r="L357" s="64"/>
      <c r="M357" s="64"/>
      <c r="N357" s="64"/>
      <c r="O357" s="64"/>
      <c r="P357" s="64"/>
      <c r="Q357" s="64"/>
      <c r="R357" s="64"/>
      <c r="S357" s="64"/>
      <c r="T357" s="64"/>
      <c r="U357" s="64"/>
      <c r="V357" s="64"/>
      <c r="W357" s="64"/>
      <c r="X357" s="64"/>
      <c r="Y357" s="64"/>
      <c r="Z357" s="64"/>
    </row>
    <row r="358">
      <c r="A358" s="72" t="s">
        <v>764</v>
      </c>
      <c r="B358" s="72" t="s">
        <v>1392</v>
      </c>
      <c r="C358" s="72" t="s">
        <v>1380</v>
      </c>
      <c r="D358" s="72" t="s">
        <v>1391</v>
      </c>
      <c r="E358" s="72" t="s">
        <v>1303</v>
      </c>
      <c r="F358" s="80"/>
      <c r="G358" s="108" t="s">
        <v>3</v>
      </c>
      <c r="H358" s="64"/>
      <c r="I358" s="64"/>
      <c r="J358" s="64"/>
      <c r="K358" s="64"/>
      <c r="L358" s="64"/>
      <c r="M358" s="64"/>
      <c r="N358" s="64"/>
      <c r="O358" s="64"/>
      <c r="P358" s="64"/>
      <c r="Q358" s="64"/>
      <c r="R358" s="64"/>
      <c r="S358" s="64"/>
      <c r="T358" s="64"/>
      <c r="U358" s="64"/>
      <c r="V358" s="64"/>
      <c r="W358" s="64"/>
      <c r="X358" s="64"/>
      <c r="Y358" s="64"/>
      <c r="Z358" s="64"/>
    </row>
    <row r="359">
      <c r="A359" s="72" t="s">
        <v>769</v>
      </c>
      <c r="B359" s="72" t="s">
        <v>1393</v>
      </c>
      <c r="C359" s="72" t="s">
        <v>1380</v>
      </c>
      <c r="D359" s="72" t="s">
        <v>1394</v>
      </c>
      <c r="E359" s="72" t="s">
        <v>1395</v>
      </c>
      <c r="F359" s="80"/>
      <c r="G359" s="108" t="s">
        <v>3</v>
      </c>
      <c r="H359" s="64"/>
      <c r="I359" s="64"/>
      <c r="J359" s="64"/>
      <c r="K359" s="64"/>
      <c r="L359" s="64"/>
      <c r="M359" s="64"/>
      <c r="N359" s="64"/>
      <c r="O359" s="64"/>
      <c r="P359" s="64"/>
      <c r="Q359" s="64"/>
      <c r="R359" s="64"/>
      <c r="S359" s="64"/>
      <c r="T359" s="64"/>
      <c r="U359" s="64"/>
      <c r="V359" s="64"/>
      <c r="W359" s="64"/>
      <c r="X359" s="64"/>
      <c r="Y359" s="64"/>
      <c r="Z359" s="64"/>
    </row>
    <row r="360">
      <c r="A360" s="72" t="s">
        <v>773</v>
      </c>
      <c r="B360" s="72" t="s">
        <v>1396</v>
      </c>
      <c r="C360" s="72" t="s">
        <v>1380</v>
      </c>
      <c r="D360" s="72" t="s">
        <v>1373</v>
      </c>
      <c r="E360" s="72" t="s">
        <v>1395</v>
      </c>
      <c r="F360" s="64"/>
      <c r="G360" s="108" t="s">
        <v>3</v>
      </c>
      <c r="H360" s="64"/>
      <c r="I360" s="64"/>
      <c r="J360" s="64"/>
      <c r="K360" s="64"/>
      <c r="L360" s="64"/>
      <c r="M360" s="64"/>
      <c r="N360" s="64"/>
      <c r="O360" s="64"/>
      <c r="P360" s="64"/>
      <c r="Q360" s="64"/>
      <c r="R360" s="64"/>
      <c r="S360" s="64"/>
      <c r="T360" s="64"/>
      <c r="U360" s="64"/>
      <c r="V360" s="64"/>
      <c r="W360" s="64"/>
      <c r="X360" s="64"/>
      <c r="Y360" s="64"/>
      <c r="Z360" s="64"/>
    </row>
    <row r="361">
      <c r="A361" s="72" t="s">
        <v>777</v>
      </c>
      <c r="B361" s="72" t="s">
        <v>1397</v>
      </c>
      <c r="C361" s="72" t="s">
        <v>1380</v>
      </c>
      <c r="D361" s="72" t="s">
        <v>1398</v>
      </c>
      <c r="E361" s="72" t="s">
        <v>1395</v>
      </c>
      <c r="F361" s="64"/>
      <c r="G361" s="108" t="s">
        <v>3</v>
      </c>
      <c r="H361" s="64"/>
      <c r="I361" s="64"/>
      <c r="J361" s="64"/>
      <c r="K361" s="64"/>
      <c r="L361" s="64"/>
      <c r="M361" s="64"/>
      <c r="N361" s="64"/>
      <c r="O361" s="64"/>
      <c r="P361" s="64"/>
      <c r="Q361" s="64"/>
      <c r="R361" s="64"/>
      <c r="S361" s="64"/>
      <c r="T361" s="64"/>
      <c r="U361" s="64"/>
      <c r="V361" s="64"/>
      <c r="W361" s="64"/>
      <c r="X361" s="64"/>
      <c r="Y361" s="64"/>
      <c r="Z361" s="64"/>
    </row>
    <row r="362">
      <c r="A362" s="72" t="s">
        <v>782</v>
      </c>
      <c r="B362" s="72" t="s">
        <v>1399</v>
      </c>
      <c r="C362" s="72" t="s">
        <v>1380</v>
      </c>
      <c r="D362" s="72" t="s">
        <v>1400</v>
      </c>
      <c r="E362" s="72" t="s">
        <v>1395</v>
      </c>
      <c r="F362" s="64"/>
      <c r="G362" s="108" t="s">
        <v>3</v>
      </c>
      <c r="H362" s="64"/>
      <c r="I362" s="64"/>
      <c r="J362" s="64"/>
      <c r="K362" s="64"/>
      <c r="L362" s="64"/>
      <c r="M362" s="64"/>
      <c r="N362" s="64"/>
      <c r="O362" s="64"/>
      <c r="P362" s="64"/>
      <c r="Q362" s="64"/>
      <c r="R362" s="64"/>
      <c r="S362" s="64"/>
      <c r="T362" s="64"/>
      <c r="U362" s="64"/>
      <c r="V362" s="64"/>
      <c r="W362" s="64"/>
      <c r="X362" s="64"/>
      <c r="Y362" s="64"/>
      <c r="Z362" s="64"/>
    </row>
    <row r="363">
      <c r="A363" s="72" t="s">
        <v>785</v>
      </c>
      <c r="B363" s="72" t="s">
        <v>1401</v>
      </c>
      <c r="C363" s="72" t="s">
        <v>1380</v>
      </c>
      <c r="D363" s="72" t="s">
        <v>1365</v>
      </c>
      <c r="E363" s="72" t="s">
        <v>1366</v>
      </c>
      <c r="F363" s="64"/>
      <c r="G363" s="108" t="s">
        <v>3</v>
      </c>
      <c r="H363" s="64"/>
      <c r="I363" s="64"/>
      <c r="J363" s="64"/>
      <c r="K363" s="64"/>
      <c r="L363" s="64"/>
      <c r="M363" s="64"/>
      <c r="N363" s="64"/>
      <c r="O363" s="64"/>
      <c r="P363" s="64"/>
      <c r="Q363" s="64"/>
      <c r="R363" s="64"/>
      <c r="S363" s="64"/>
      <c r="T363" s="64"/>
      <c r="U363" s="64"/>
      <c r="V363" s="64"/>
      <c r="W363" s="64"/>
      <c r="X363" s="64"/>
      <c r="Y363" s="64"/>
      <c r="Z363" s="64"/>
    </row>
    <row r="364">
      <c r="A364" s="72" t="s">
        <v>789</v>
      </c>
      <c r="B364" s="72" t="s">
        <v>1402</v>
      </c>
      <c r="C364" s="72" t="s">
        <v>1380</v>
      </c>
      <c r="D364" s="72" t="s">
        <v>1403</v>
      </c>
      <c r="E364" s="72" t="s">
        <v>1404</v>
      </c>
      <c r="F364" s="64"/>
      <c r="G364" s="108" t="s">
        <v>3</v>
      </c>
      <c r="H364" s="64"/>
      <c r="I364" s="64"/>
      <c r="J364" s="64"/>
      <c r="K364" s="64"/>
      <c r="L364" s="64"/>
      <c r="M364" s="64"/>
      <c r="N364" s="64"/>
      <c r="O364" s="64"/>
      <c r="P364" s="64"/>
      <c r="Q364" s="64"/>
      <c r="R364" s="64"/>
      <c r="S364" s="64"/>
      <c r="T364" s="64"/>
      <c r="U364" s="64"/>
      <c r="V364" s="64"/>
      <c r="W364" s="64"/>
      <c r="X364" s="64"/>
      <c r="Y364" s="64"/>
      <c r="Z364" s="64"/>
    </row>
    <row r="365">
      <c r="A365" s="104"/>
      <c r="B365" s="105" t="s">
        <v>1405</v>
      </c>
      <c r="C365" s="104"/>
      <c r="D365" s="104"/>
      <c r="E365" s="104"/>
      <c r="F365" s="69"/>
      <c r="G365" s="69"/>
      <c r="H365" s="64"/>
      <c r="I365" s="64"/>
      <c r="J365" s="64"/>
      <c r="K365" s="64"/>
      <c r="L365" s="64"/>
      <c r="M365" s="64"/>
      <c r="N365" s="64"/>
      <c r="O365" s="64"/>
      <c r="P365" s="64"/>
      <c r="Q365" s="64"/>
      <c r="R365" s="64"/>
      <c r="S365" s="64"/>
      <c r="T365" s="64"/>
      <c r="U365" s="64"/>
      <c r="V365" s="64"/>
      <c r="W365" s="64"/>
      <c r="X365" s="64"/>
      <c r="Y365" s="64"/>
      <c r="Z365" s="64"/>
    </row>
    <row r="366">
      <c r="A366" s="104"/>
      <c r="B366" s="105" t="s">
        <v>1406</v>
      </c>
      <c r="C366" s="104"/>
      <c r="D366" s="104"/>
      <c r="E366" s="104"/>
      <c r="F366" s="69"/>
      <c r="G366" s="69"/>
      <c r="H366" s="64"/>
      <c r="I366" s="64"/>
      <c r="J366" s="64"/>
      <c r="K366" s="64"/>
      <c r="L366" s="64"/>
      <c r="M366" s="64"/>
      <c r="N366" s="64"/>
      <c r="O366" s="64"/>
      <c r="P366" s="64"/>
      <c r="Q366" s="64"/>
      <c r="R366" s="64"/>
      <c r="S366" s="64"/>
      <c r="T366" s="64"/>
      <c r="U366" s="64"/>
      <c r="V366" s="64"/>
      <c r="W366" s="64"/>
      <c r="X366" s="64"/>
      <c r="Y366" s="64"/>
      <c r="Z366" s="64"/>
    </row>
    <row r="367">
      <c r="A367" s="72" t="s">
        <v>796</v>
      </c>
      <c r="B367" s="72" t="s">
        <v>1407</v>
      </c>
      <c r="C367" s="72" t="s">
        <v>1278</v>
      </c>
      <c r="D367" s="72" t="s">
        <v>1408</v>
      </c>
      <c r="E367" s="72" t="s">
        <v>1409</v>
      </c>
      <c r="F367" s="64"/>
      <c r="G367" s="108" t="s">
        <v>3</v>
      </c>
      <c r="H367" s="64"/>
      <c r="I367" s="64"/>
      <c r="J367" s="64"/>
      <c r="K367" s="64"/>
      <c r="L367" s="64"/>
      <c r="M367" s="64"/>
      <c r="N367" s="64"/>
      <c r="O367" s="64"/>
      <c r="P367" s="64"/>
      <c r="Q367" s="64"/>
      <c r="R367" s="64"/>
      <c r="S367" s="64"/>
      <c r="T367" s="64"/>
      <c r="U367" s="64"/>
      <c r="V367" s="64"/>
      <c r="W367" s="64"/>
      <c r="X367" s="64"/>
      <c r="Y367" s="64"/>
      <c r="Z367" s="64"/>
    </row>
    <row r="368">
      <c r="A368" s="72" t="s">
        <v>800</v>
      </c>
      <c r="B368" s="72" t="s">
        <v>1410</v>
      </c>
      <c r="C368" s="72" t="s">
        <v>1411</v>
      </c>
      <c r="D368" s="72" t="s">
        <v>1412</v>
      </c>
      <c r="E368" s="72" t="s">
        <v>1413</v>
      </c>
      <c r="F368" s="64"/>
      <c r="G368" s="108" t="s">
        <v>3</v>
      </c>
      <c r="H368" s="64"/>
      <c r="I368" s="64"/>
      <c r="J368" s="64"/>
      <c r="K368" s="64"/>
      <c r="L368" s="64"/>
      <c r="M368" s="64"/>
      <c r="N368" s="64"/>
      <c r="O368" s="64"/>
      <c r="P368" s="64"/>
      <c r="Q368" s="64"/>
      <c r="R368" s="64"/>
      <c r="S368" s="64"/>
      <c r="T368" s="64"/>
      <c r="U368" s="64"/>
      <c r="V368" s="64"/>
      <c r="W368" s="64"/>
      <c r="X368" s="64"/>
      <c r="Y368" s="64"/>
      <c r="Z368" s="64"/>
    </row>
    <row r="369">
      <c r="A369" s="72" t="s">
        <v>805</v>
      </c>
      <c r="B369" s="72" t="s">
        <v>1414</v>
      </c>
      <c r="C369" s="72" t="s">
        <v>1411</v>
      </c>
      <c r="D369" s="72" t="s">
        <v>1283</v>
      </c>
      <c r="E369" s="72" t="s">
        <v>1415</v>
      </c>
      <c r="F369" s="64"/>
      <c r="G369" s="108" t="s">
        <v>3</v>
      </c>
      <c r="H369" s="64"/>
      <c r="I369" s="64"/>
      <c r="J369" s="64"/>
      <c r="K369" s="64"/>
      <c r="L369" s="64"/>
      <c r="M369" s="64"/>
      <c r="N369" s="64"/>
      <c r="O369" s="64"/>
      <c r="P369" s="64"/>
      <c r="Q369" s="64"/>
      <c r="R369" s="64"/>
      <c r="S369" s="64"/>
      <c r="T369" s="64"/>
      <c r="U369" s="64"/>
      <c r="V369" s="64"/>
      <c r="W369" s="64"/>
      <c r="X369" s="64"/>
      <c r="Y369" s="64"/>
      <c r="Z369" s="64"/>
    </row>
    <row r="370">
      <c r="A370" s="72" t="s">
        <v>808</v>
      </c>
      <c r="B370" s="72" t="s">
        <v>1288</v>
      </c>
      <c r="C370" s="72" t="s">
        <v>1411</v>
      </c>
      <c r="D370" s="72" t="s">
        <v>1416</v>
      </c>
      <c r="E370" s="72" t="s">
        <v>1303</v>
      </c>
      <c r="F370" s="109" t="s">
        <v>1417</v>
      </c>
      <c r="G370" s="108" t="s">
        <v>3</v>
      </c>
      <c r="H370" s="64"/>
      <c r="I370" s="64"/>
      <c r="J370" s="64"/>
      <c r="K370" s="64"/>
      <c r="L370" s="64"/>
      <c r="M370" s="64"/>
      <c r="N370" s="64"/>
      <c r="O370" s="64"/>
      <c r="P370" s="64"/>
      <c r="Q370" s="64"/>
      <c r="R370" s="64"/>
      <c r="S370" s="64"/>
      <c r="T370" s="64"/>
      <c r="U370" s="64"/>
      <c r="V370" s="64"/>
      <c r="W370" s="64"/>
      <c r="X370" s="64"/>
      <c r="Y370" s="64"/>
      <c r="Z370" s="64"/>
    </row>
    <row r="371">
      <c r="A371" s="72" t="s">
        <v>812</v>
      </c>
      <c r="B371" s="72" t="s">
        <v>1418</v>
      </c>
      <c r="C371" s="72" t="s">
        <v>1411</v>
      </c>
      <c r="D371" s="72" t="s">
        <v>1419</v>
      </c>
      <c r="E371" s="72" t="s">
        <v>1303</v>
      </c>
      <c r="F371" s="109" t="s">
        <v>1417</v>
      </c>
      <c r="G371" s="108" t="s">
        <v>3</v>
      </c>
      <c r="H371" s="64"/>
      <c r="I371" s="64"/>
      <c r="J371" s="64"/>
      <c r="K371" s="64"/>
      <c r="L371" s="64"/>
      <c r="M371" s="64"/>
      <c r="N371" s="64"/>
      <c r="O371" s="64"/>
      <c r="P371" s="64"/>
      <c r="Q371" s="64"/>
      <c r="R371" s="64"/>
      <c r="S371" s="64"/>
      <c r="T371" s="64"/>
      <c r="U371" s="64"/>
      <c r="V371" s="64"/>
      <c r="W371" s="64"/>
      <c r="X371" s="64"/>
      <c r="Y371" s="64"/>
      <c r="Z371" s="64"/>
    </row>
    <row r="372">
      <c r="A372" s="72" t="s">
        <v>817</v>
      </c>
      <c r="B372" s="72" t="s">
        <v>1304</v>
      </c>
      <c r="C372" s="72" t="s">
        <v>1411</v>
      </c>
      <c r="D372" s="72" t="s">
        <v>1420</v>
      </c>
      <c r="E372" s="72" t="s">
        <v>1303</v>
      </c>
      <c r="F372" s="64"/>
      <c r="G372" s="108" t="s">
        <v>3</v>
      </c>
      <c r="H372" s="64"/>
      <c r="I372" s="64"/>
      <c r="J372" s="64"/>
      <c r="K372" s="64"/>
      <c r="L372" s="64"/>
      <c r="M372" s="64"/>
      <c r="N372" s="64"/>
      <c r="O372" s="64"/>
      <c r="P372" s="64"/>
      <c r="Q372" s="64"/>
      <c r="R372" s="64"/>
      <c r="S372" s="64"/>
      <c r="T372" s="64"/>
      <c r="U372" s="64"/>
      <c r="V372" s="64"/>
      <c r="W372" s="64"/>
      <c r="X372" s="64"/>
      <c r="Y372" s="64"/>
      <c r="Z372" s="64"/>
    </row>
    <row r="373">
      <c r="A373" s="72" t="s">
        <v>822</v>
      </c>
      <c r="B373" s="72" t="s">
        <v>1421</v>
      </c>
      <c r="C373" s="72" t="s">
        <v>1411</v>
      </c>
      <c r="D373" s="72" t="s">
        <v>1422</v>
      </c>
      <c r="E373" s="72" t="s">
        <v>1303</v>
      </c>
      <c r="F373" s="64"/>
      <c r="G373" s="108" t="s">
        <v>4</v>
      </c>
      <c r="H373" s="64"/>
      <c r="I373" s="64"/>
      <c r="J373" s="64"/>
      <c r="K373" s="64"/>
      <c r="L373" s="64"/>
      <c r="M373" s="64"/>
      <c r="N373" s="64"/>
      <c r="O373" s="64"/>
      <c r="P373" s="64"/>
      <c r="Q373" s="64"/>
      <c r="R373" s="64"/>
      <c r="S373" s="64"/>
      <c r="T373" s="64"/>
      <c r="U373" s="64"/>
      <c r="V373" s="64"/>
      <c r="W373" s="64"/>
      <c r="X373" s="64"/>
      <c r="Y373" s="64"/>
      <c r="Z373" s="64"/>
    </row>
    <row r="374">
      <c r="A374" s="72" t="s">
        <v>826</v>
      </c>
      <c r="B374" s="72" t="s">
        <v>1301</v>
      </c>
      <c r="C374" s="72" t="s">
        <v>1411</v>
      </c>
      <c r="D374" s="72" t="s">
        <v>1423</v>
      </c>
      <c r="E374" s="72" t="s">
        <v>1303</v>
      </c>
      <c r="F374" s="64"/>
      <c r="G374" s="108" t="s">
        <v>3</v>
      </c>
      <c r="H374" s="64"/>
      <c r="I374" s="64"/>
      <c r="J374" s="64"/>
      <c r="K374" s="64"/>
      <c r="L374" s="64"/>
      <c r="M374" s="64"/>
      <c r="N374" s="64"/>
      <c r="O374" s="64"/>
      <c r="P374" s="64"/>
      <c r="Q374" s="64"/>
      <c r="R374" s="64"/>
      <c r="S374" s="64"/>
      <c r="T374" s="64"/>
      <c r="U374" s="64"/>
      <c r="V374" s="64"/>
      <c r="W374" s="64"/>
      <c r="X374" s="64"/>
      <c r="Y374" s="64"/>
      <c r="Z374" s="64"/>
    </row>
    <row r="375">
      <c r="A375" s="72" t="s">
        <v>829</v>
      </c>
      <c r="B375" s="72" t="s">
        <v>1315</v>
      </c>
      <c r="C375" s="72" t="s">
        <v>1411</v>
      </c>
      <c r="D375" s="72" t="s">
        <v>1424</v>
      </c>
      <c r="E375" s="72" t="s">
        <v>1303</v>
      </c>
      <c r="F375" s="64"/>
      <c r="G375" s="108" t="s">
        <v>3</v>
      </c>
      <c r="H375" s="64"/>
      <c r="I375" s="64"/>
      <c r="J375" s="64"/>
      <c r="K375" s="64"/>
      <c r="L375" s="64"/>
      <c r="M375" s="64"/>
      <c r="N375" s="64"/>
      <c r="O375" s="64"/>
      <c r="P375" s="64"/>
      <c r="Q375" s="64"/>
      <c r="R375" s="64"/>
      <c r="S375" s="64"/>
      <c r="T375" s="64"/>
      <c r="U375" s="64"/>
      <c r="V375" s="64"/>
      <c r="W375" s="64"/>
      <c r="X375" s="64"/>
      <c r="Y375" s="64"/>
      <c r="Z375" s="64"/>
    </row>
    <row r="376">
      <c r="A376" s="72" t="s">
        <v>834</v>
      </c>
      <c r="B376" s="72" t="s">
        <v>1425</v>
      </c>
      <c r="C376" s="72" t="s">
        <v>1411</v>
      </c>
      <c r="D376" s="72" t="s">
        <v>1318</v>
      </c>
      <c r="E376" s="72" t="s">
        <v>1303</v>
      </c>
      <c r="F376" s="64"/>
      <c r="G376" s="108" t="s">
        <v>3</v>
      </c>
      <c r="H376" s="64"/>
      <c r="I376" s="64"/>
      <c r="J376" s="64"/>
      <c r="K376" s="64"/>
      <c r="L376" s="64"/>
      <c r="M376" s="64"/>
      <c r="N376" s="64"/>
      <c r="O376" s="64"/>
      <c r="P376" s="64"/>
      <c r="Q376" s="64"/>
      <c r="R376" s="64"/>
      <c r="S376" s="64"/>
      <c r="T376" s="64"/>
      <c r="U376" s="64"/>
      <c r="V376" s="64"/>
      <c r="W376" s="64"/>
      <c r="X376" s="64"/>
      <c r="Y376" s="64"/>
      <c r="Z376" s="64"/>
    </row>
    <row r="377">
      <c r="A377" s="72" t="s">
        <v>839</v>
      </c>
      <c r="B377" s="72" t="s">
        <v>1323</v>
      </c>
      <c r="C377" s="72" t="s">
        <v>1411</v>
      </c>
      <c r="D377" s="72" t="s">
        <v>1426</v>
      </c>
      <c r="E377" s="72" t="s">
        <v>1303</v>
      </c>
      <c r="F377" s="64"/>
      <c r="G377" s="108" t="s">
        <v>3</v>
      </c>
      <c r="H377" s="64"/>
      <c r="I377" s="64"/>
      <c r="J377" s="64"/>
      <c r="K377" s="64"/>
      <c r="L377" s="64"/>
      <c r="M377" s="64"/>
      <c r="N377" s="64"/>
      <c r="O377" s="64"/>
      <c r="P377" s="64"/>
      <c r="Q377" s="64"/>
      <c r="R377" s="64"/>
      <c r="S377" s="64"/>
      <c r="T377" s="64"/>
      <c r="U377" s="64"/>
      <c r="V377" s="64"/>
      <c r="W377" s="64"/>
      <c r="X377" s="64"/>
      <c r="Y377" s="64"/>
      <c r="Z377" s="64"/>
    </row>
    <row r="378">
      <c r="A378" s="72" t="s">
        <v>842</v>
      </c>
      <c r="B378" s="72" t="s">
        <v>1328</v>
      </c>
      <c r="C378" s="72" t="s">
        <v>1411</v>
      </c>
      <c r="D378" s="72" t="s">
        <v>1427</v>
      </c>
      <c r="E378" s="72" t="s">
        <v>1303</v>
      </c>
      <c r="F378" s="64"/>
      <c r="G378" s="108" t="s">
        <v>3</v>
      </c>
      <c r="H378" s="64"/>
      <c r="I378" s="64"/>
      <c r="J378" s="64"/>
      <c r="K378" s="64"/>
      <c r="L378" s="64"/>
      <c r="M378" s="64"/>
      <c r="N378" s="64"/>
      <c r="O378" s="64"/>
      <c r="P378" s="64"/>
      <c r="Q378" s="64"/>
      <c r="R378" s="64"/>
      <c r="S378" s="64"/>
      <c r="T378" s="64"/>
      <c r="U378" s="64"/>
      <c r="V378" s="64"/>
      <c r="W378" s="64"/>
      <c r="X378" s="64"/>
      <c r="Y378" s="64"/>
      <c r="Z378" s="64"/>
    </row>
    <row r="379">
      <c r="A379" s="72" t="s">
        <v>847</v>
      </c>
      <c r="B379" s="72" t="s">
        <v>1336</v>
      </c>
      <c r="C379" s="72" t="s">
        <v>1411</v>
      </c>
      <c r="D379" s="72" t="s">
        <v>1337</v>
      </c>
      <c r="E379" s="72" t="s">
        <v>1303</v>
      </c>
      <c r="F379" s="64"/>
      <c r="G379" s="108" t="s">
        <v>3</v>
      </c>
      <c r="H379" s="64"/>
      <c r="I379" s="64"/>
      <c r="J379" s="64"/>
      <c r="K379" s="64"/>
      <c r="L379" s="64"/>
      <c r="M379" s="64"/>
      <c r="N379" s="64"/>
      <c r="O379" s="64"/>
      <c r="P379" s="64"/>
      <c r="Q379" s="64"/>
      <c r="R379" s="64"/>
      <c r="S379" s="64"/>
      <c r="T379" s="64"/>
      <c r="U379" s="64"/>
      <c r="V379" s="64"/>
      <c r="W379" s="64"/>
      <c r="X379" s="64"/>
      <c r="Y379" s="64"/>
      <c r="Z379" s="64"/>
    </row>
    <row r="380">
      <c r="A380" s="72" t="s">
        <v>851</v>
      </c>
      <c r="B380" s="72" t="s">
        <v>1338</v>
      </c>
      <c r="C380" s="72" t="s">
        <v>1411</v>
      </c>
      <c r="D380" s="72" t="s">
        <v>1428</v>
      </c>
      <c r="E380" s="72" t="s">
        <v>1303</v>
      </c>
      <c r="F380" s="64"/>
      <c r="G380" s="108" t="s">
        <v>3</v>
      </c>
      <c r="H380" s="64"/>
      <c r="I380" s="64"/>
      <c r="J380" s="64"/>
      <c r="K380" s="64"/>
      <c r="L380" s="64"/>
      <c r="M380" s="64"/>
      <c r="N380" s="64"/>
      <c r="O380" s="64"/>
      <c r="P380" s="64"/>
      <c r="Q380" s="64"/>
      <c r="R380" s="64"/>
      <c r="S380" s="64"/>
      <c r="T380" s="64"/>
      <c r="U380" s="64"/>
      <c r="V380" s="64"/>
      <c r="W380" s="64"/>
      <c r="X380" s="64"/>
      <c r="Y380" s="64"/>
      <c r="Z380" s="64"/>
    </row>
    <row r="381">
      <c r="A381" s="72" t="s">
        <v>855</v>
      </c>
      <c r="B381" s="72" t="s">
        <v>1343</v>
      </c>
      <c r="C381" s="72" t="s">
        <v>1411</v>
      </c>
      <c r="D381" s="72" t="s">
        <v>1429</v>
      </c>
      <c r="E381" s="72" t="s">
        <v>1303</v>
      </c>
      <c r="F381" s="64"/>
      <c r="G381" s="108" t="s">
        <v>3</v>
      </c>
      <c r="H381" s="64"/>
      <c r="I381" s="64"/>
      <c r="J381" s="64"/>
      <c r="K381" s="64"/>
      <c r="L381" s="64"/>
      <c r="M381" s="64"/>
      <c r="N381" s="64"/>
      <c r="O381" s="64"/>
      <c r="P381" s="64"/>
      <c r="Q381" s="64"/>
      <c r="R381" s="64"/>
      <c r="S381" s="64"/>
      <c r="T381" s="64"/>
      <c r="U381" s="64"/>
      <c r="V381" s="64"/>
      <c r="W381" s="64"/>
      <c r="X381" s="64"/>
      <c r="Y381" s="64"/>
      <c r="Z381" s="64"/>
    </row>
    <row r="382">
      <c r="A382" s="72" t="s">
        <v>860</v>
      </c>
      <c r="B382" s="72" t="s">
        <v>1430</v>
      </c>
      <c r="C382" s="72" t="s">
        <v>1411</v>
      </c>
      <c r="D382" s="72" t="s">
        <v>1431</v>
      </c>
      <c r="E382" s="72" t="s">
        <v>1303</v>
      </c>
      <c r="F382" s="64"/>
      <c r="G382" s="108" t="s">
        <v>3</v>
      </c>
      <c r="H382" s="64"/>
      <c r="I382" s="64"/>
      <c r="J382" s="64"/>
      <c r="K382" s="64"/>
      <c r="L382" s="64"/>
      <c r="M382" s="64"/>
      <c r="N382" s="64"/>
      <c r="O382" s="64"/>
      <c r="P382" s="64"/>
      <c r="Q382" s="64"/>
      <c r="R382" s="64"/>
      <c r="S382" s="64"/>
      <c r="T382" s="64"/>
      <c r="U382" s="64"/>
      <c r="V382" s="64"/>
      <c r="W382" s="64"/>
      <c r="X382" s="64"/>
      <c r="Y382" s="64"/>
      <c r="Z382" s="64"/>
    </row>
    <row r="383">
      <c r="A383" s="72" t="s">
        <v>864</v>
      </c>
      <c r="B383" s="72" t="s">
        <v>1432</v>
      </c>
      <c r="C383" s="72" t="s">
        <v>1411</v>
      </c>
      <c r="D383" s="72" t="s">
        <v>1433</v>
      </c>
      <c r="E383" s="72" t="s">
        <v>1434</v>
      </c>
      <c r="F383" s="64"/>
      <c r="G383" s="108" t="s">
        <v>3</v>
      </c>
      <c r="H383" s="64"/>
      <c r="I383" s="64"/>
      <c r="J383" s="64"/>
      <c r="K383" s="64"/>
      <c r="L383" s="64"/>
      <c r="M383" s="64"/>
      <c r="N383" s="64"/>
      <c r="O383" s="64"/>
      <c r="P383" s="64"/>
      <c r="Q383" s="64"/>
      <c r="R383" s="64"/>
      <c r="S383" s="64"/>
      <c r="T383" s="64"/>
      <c r="U383" s="64"/>
      <c r="V383" s="64"/>
      <c r="W383" s="64"/>
      <c r="X383" s="64"/>
      <c r="Y383" s="64"/>
      <c r="Z383" s="64"/>
    </row>
    <row r="384">
      <c r="A384" s="72" t="s">
        <v>869</v>
      </c>
      <c r="B384" s="72" t="s">
        <v>1435</v>
      </c>
      <c r="C384" s="72" t="s">
        <v>1411</v>
      </c>
      <c r="D384" s="72" t="s">
        <v>1362</v>
      </c>
      <c r="E384" s="72" t="s">
        <v>1363</v>
      </c>
      <c r="F384" s="64"/>
      <c r="G384" s="108" t="s">
        <v>3</v>
      </c>
      <c r="H384" s="64"/>
      <c r="I384" s="64"/>
      <c r="J384" s="64"/>
      <c r="K384" s="64"/>
      <c r="L384" s="64"/>
      <c r="M384" s="64"/>
      <c r="N384" s="64"/>
      <c r="O384" s="64"/>
      <c r="P384" s="64"/>
      <c r="Q384" s="64"/>
      <c r="R384" s="64"/>
      <c r="S384" s="64"/>
      <c r="T384" s="64"/>
      <c r="U384" s="64"/>
      <c r="V384" s="64"/>
      <c r="W384" s="64"/>
      <c r="X384" s="64"/>
      <c r="Y384" s="64"/>
      <c r="Z384" s="64"/>
    </row>
    <row r="385">
      <c r="A385" s="72" t="s">
        <v>873</v>
      </c>
      <c r="B385" s="72" t="s">
        <v>1436</v>
      </c>
      <c r="C385" s="72" t="s">
        <v>1437</v>
      </c>
      <c r="D385" s="72" t="s">
        <v>1438</v>
      </c>
      <c r="E385" s="72" t="s">
        <v>1439</v>
      </c>
      <c r="F385" s="64"/>
      <c r="G385" s="108" t="s">
        <v>3</v>
      </c>
      <c r="H385" s="64"/>
      <c r="I385" s="64"/>
      <c r="J385" s="64"/>
      <c r="K385" s="64"/>
      <c r="L385" s="64"/>
      <c r="M385" s="64"/>
      <c r="N385" s="64"/>
      <c r="O385" s="64"/>
      <c r="P385" s="64"/>
      <c r="Q385" s="64"/>
      <c r="R385" s="64"/>
      <c r="S385" s="64"/>
      <c r="T385" s="64"/>
      <c r="U385" s="64"/>
      <c r="V385" s="64"/>
      <c r="W385" s="64"/>
      <c r="X385" s="64"/>
      <c r="Y385" s="64"/>
      <c r="Z385" s="64"/>
    </row>
    <row r="386">
      <c r="A386" s="72" t="s">
        <v>877</v>
      </c>
      <c r="B386" s="72" t="s">
        <v>1440</v>
      </c>
      <c r="C386" s="72" t="s">
        <v>1441</v>
      </c>
      <c r="D386" s="72" t="s">
        <v>1442</v>
      </c>
      <c r="E386" s="72" t="s">
        <v>1443</v>
      </c>
      <c r="F386" s="64"/>
      <c r="G386" s="108" t="s">
        <v>3</v>
      </c>
      <c r="H386" s="64"/>
      <c r="I386" s="64"/>
      <c r="J386" s="64"/>
      <c r="K386" s="64"/>
      <c r="L386" s="64"/>
      <c r="M386" s="64"/>
      <c r="N386" s="64"/>
      <c r="O386" s="64"/>
      <c r="P386" s="64"/>
      <c r="Q386" s="64"/>
      <c r="R386" s="64"/>
      <c r="S386" s="64"/>
      <c r="T386" s="64"/>
      <c r="U386" s="64"/>
      <c r="V386" s="64"/>
      <c r="W386" s="64"/>
      <c r="X386" s="64"/>
      <c r="Y386" s="64"/>
      <c r="Z386" s="64"/>
    </row>
    <row r="387">
      <c r="A387" s="104"/>
      <c r="B387" s="110" t="s">
        <v>1444</v>
      </c>
      <c r="C387" s="104"/>
      <c r="D387" s="104"/>
      <c r="E387" s="104"/>
      <c r="F387" s="69"/>
      <c r="G387" s="69"/>
      <c r="H387" s="64"/>
      <c r="I387" s="64"/>
      <c r="J387" s="64"/>
      <c r="K387" s="64"/>
      <c r="L387" s="64"/>
      <c r="M387" s="64"/>
      <c r="N387" s="64"/>
      <c r="O387" s="64"/>
      <c r="P387" s="64"/>
      <c r="Q387" s="64"/>
      <c r="R387" s="64"/>
      <c r="S387" s="64"/>
      <c r="T387" s="64"/>
      <c r="U387" s="64"/>
      <c r="V387" s="64"/>
      <c r="W387" s="64"/>
      <c r="X387" s="64"/>
      <c r="Y387" s="64"/>
      <c r="Z387" s="64"/>
    </row>
    <row r="388">
      <c r="A388" s="72" t="s">
        <v>882</v>
      </c>
      <c r="B388" s="72" t="s">
        <v>1445</v>
      </c>
      <c r="C388" s="72" t="s">
        <v>1278</v>
      </c>
      <c r="D388" s="72" t="s">
        <v>1446</v>
      </c>
      <c r="E388" s="72" t="s">
        <v>1409</v>
      </c>
      <c r="F388" s="64"/>
      <c r="G388" s="108" t="s">
        <v>3</v>
      </c>
      <c r="H388" s="64"/>
      <c r="I388" s="64"/>
      <c r="J388" s="64"/>
      <c r="K388" s="64"/>
      <c r="L388" s="64"/>
      <c r="M388" s="64"/>
      <c r="N388" s="64"/>
      <c r="O388" s="64"/>
      <c r="P388" s="64"/>
      <c r="Q388" s="64"/>
      <c r="R388" s="64"/>
      <c r="S388" s="64"/>
      <c r="T388" s="64"/>
      <c r="U388" s="64"/>
      <c r="V388" s="64"/>
      <c r="W388" s="64"/>
      <c r="X388" s="64"/>
      <c r="Y388" s="64"/>
      <c r="Z388" s="64"/>
    </row>
    <row r="389">
      <c r="A389" s="72" t="s">
        <v>885</v>
      </c>
      <c r="B389" s="72" t="s">
        <v>1447</v>
      </c>
      <c r="C389" s="72" t="s">
        <v>1448</v>
      </c>
      <c r="D389" s="72" t="s">
        <v>1412</v>
      </c>
      <c r="E389" s="72" t="s">
        <v>1413</v>
      </c>
      <c r="F389" s="64"/>
      <c r="G389" s="108" t="s">
        <v>3</v>
      </c>
      <c r="H389" s="64"/>
      <c r="I389" s="64"/>
      <c r="J389" s="64"/>
      <c r="K389" s="64"/>
      <c r="L389" s="64"/>
      <c r="M389" s="64"/>
      <c r="N389" s="64"/>
      <c r="O389" s="64"/>
      <c r="P389" s="64"/>
      <c r="Q389" s="64"/>
      <c r="R389" s="64"/>
      <c r="S389" s="64"/>
      <c r="T389" s="64"/>
      <c r="U389" s="64"/>
      <c r="V389" s="64"/>
      <c r="W389" s="64"/>
      <c r="X389" s="64"/>
      <c r="Y389" s="64"/>
      <c r="Z389" s="64"/>
    </row>
    <row r="390">
      <c r="A390" s="72" t="s">
        <v>889</v>
      </c>
      <c r="B390" s="72" t="s">
        <v>1379</v>
      </c>
      <c r="C390" s="72" t="s">
        <v>1448</v>
      </c>
      <c r="D390" s="72" t="s">
        <v>1449</v>
      </c>
      <c r="E390" s="72" t="s">
        <v>1303</v>
      </c>
      <c r="F390" s="64"/>
      <c r="G390" s="108" t="s">
        <v>3</v>
      </c>
      <c r="H390" s="64"/>
      <c r="I390" s="64"/>
      <c r="J390" s="64"/>
      <c r="K390" s="64"/>
      <c r="L390" s="64"/>
      <c r="M390" s="64"/>
      <c r="N390" s="64"/>
      <c r="O390" s="64"/>
      <c r="P390" s="64"/>
      <c r="Q390" s="64"/>
      <c r="R390" s="64"/>
      <c r="S390" s="64"/>
      <c r="T390" s="64"/>
      <c r="U390" s="64"/>
      <c r="V390" s="64"/>
      <c r="W390" s="64"/>
      <c r="X390" s="64"/>
      <c r="Y390" s="64"/>
      <c r="Z390" s="64"/>
    </row>
    <row r="391">
      <c r="A391" s="72" t="s">
        <v>893</v>
      </c>
      <c r="B391" s="72" t="s">
        <v>1450</v>
      </c>
      <c r="C391" s="72" t="s">
        <v>1448</v>
      </c>
      <c r="D391" s="72" t="s">
        <v>1451</v>
      </c>
      <c r="E391" s="72" t="s">
        <v>1303</v>
      </c>
      <c r="F391" s="64"/>
      <c r="G391" s="108" t="s">
        <v>3</v>
      </c>
      <c r="H391" s="64"/>
      <c r="I391" s="64"/>
      <c r="J391" s="64"/>
      <c r="K391" s="64"/>
      <c r="L391" s="64"/>
      <c r="M391" s="64"/>
      <c r="N391" s="64"/>
      <c r="O391" s="64"/>
      <c r="P391" s="64"/>
      <c r="Q391" s="64"/>
      <c r="R391" s="64"/>
      <c r="S391" s="64"/>
      <c r="T391" s="64"/>
      <c r="U391" s="64"/>
      <c r="V391" s="64"/>
      <c r="W391" s="64"/>
      <c r="X391" s="64"/>
      <c r="Y391" s="64"/>
      <c r="Z391" s="64"/>
    </row>
    <row r="392">
      <c r="A392" s="72" t="s">
        <v>896</v>
      </c>
      <c r="B392" s="72" t="s">
        <v>1384</v>
      </c>
      <c r="C392" s="72" t="s">
        <v>1448</v>
      </c>
      <c r="D392" s="72" t="s">
        <v>1452</v>
      </c>
      <c r="E392" s="72" t="s">
        <v>1303</v>
      </c>
      <c r="F392" s="64"/>
      <c r="G392" s="108" t="s">
        <v>3</v>
      </c>
      <c r="H392" s="64"/>
      <c r="I392" s="64"/>
      <c r="J392" s="64"/>
      <c r="K392" s="64"/>
      <c r="L392" s="64"/>
      <c r="M392" s="64"/>
      <c r="N392" s="64"/>
      <c r="O392" s="64"/>
      <c r="P392" s="64"/>
      <c r="Q392" s="64"/>
      <c r="R392" s="64"/>
      <c r="S392" s="64"/>
      <c r="T392" s="64"/>
      <c r="U392" s="64"/>
      <c r="V392" s="64"/>
      <c r="W392" s="64"/>
      <c r="X392" s="64"/>
      <c r="Y392" s="64"/>
      <c r="Z392" s="64"/>
    </row>
    <row r="393">
      <c r="A393" s="72" t="s">
        <v>900</v>
      </c>
      <c r="B393" s="72" t="s">
        <v>1388</v>
      </c>
      <c r="C393" s="72" t="s">
        <v>1448</v>
      </c>
      <c r="D393" s="72" t="s">
        <v>1453</v>
      </c>
      <c r="E393" s="72" t="s">
        <v>1303</v>
      </c>
      <c r="F393" s="64"/>
      <c r="G393" s="108" t="s">
        <v>3</v>
      </c>
      <c r="H393" s="64"/>
      <c r="I393" s="64"/>
      <c r="J393" s="64"/>
      <c r="K393" s="64"/>
      <c r="L393" s="64"/>
      <c r="M393" s="64"/>
      <c r="N393" s="64"/>
      <c r="O393" s="64"/>
      <c r="P393" s="64"/>
      <c r="Q393" s="64"/>
      <c r="R393" s="64"/>
      <c r="S393" s="64"/>
      <c r="T393" s="64"/>
      <c r="U393" s="64"/>
      <c r="V393" s="64"/>
      <c r="W393" s="64"/>
      <c r="X393" s="64"/>
      <c r="Y393" s="64"/>
      <c r="Z393" s="64"/>
    </row>
    <row r="394">
      <c r="A394" s="72" t="s">
        <v>905</v>
      </c>
      <c r="B394" s="72" t="s">
        <v>1454</v>
      </c>
      <c r="C394" s="72" t="s">
        <v>1448</v>
      </c>
      <c r="D394" s="72" t="s">
        <v>1433</v>
      </c>
      <c r="E394" s="72" t="s">
        <v>1434</v>
      </c>
      <c r="F394" s="64"/>
      <c r="G394" s="108" t="s">
        <v>3</v>
      </c>
      <c r="H394" s="64"/>
      <c r="I394" s="64"/>
      <c r="J394" s="64"/>
      <c r="K394" s="64"/>
      <c r="L394" s="64"/>
      <c r="M394" s="64"/>
      <c r="N394" s="64"/>
      <c r="O394" s="64"/>
      <c r="P394" s="64"/>
      <c r="Q394" s="64"/>
      <c r="R394" s="64"/>
      <c r="S394" s="64"/>
      <c r="T394" s="64"/>
      <c r="U394" s="64"/>
      <c r="V394" s="64"/>
      <c r="W394" s="64"/>
      <c r="X394" s="64"/>
      <c r="Y394" s="64"/>
      <c r="Z394" s="64"/>
    </row>
    <row r="395">
      <c r="A395" s="72" t="s">
        <v>908</v>
      </c>
      <c r="B395" s="72" t="s">
        <v>1435</v>
      </c>
      <c r="C395" s="72" t="s">
        <v>1448</v>
      </c>
      <c r="D395" s="72" t="s">
        <v>1362</v>
      </c>
      <c r="E395" s="72" t="s">
        <v>1363</v>
      </c>
      <c r="F395" s="64"/>
      <c r="G395" s="108" t="s">
        <v>3</v>
      </c>
      <c r="H395" s="64"/>
      <c r="I395" s="64"/>
      <c r="J395" s="64"/>
      <c r="K395" s="64"/>
      <c r="L395" s="64"/>
      <c r="M395" s="64"/>
      <c r="N395" s="64"/>
      <c r="O395" s="64"/>
      <c r="P395" s="64"/>
      <c r="Q395" s="64"/>
      <c r="R395" s="64"/>
      <c r="S395" s="64"/>
      <c r="T395" s="64"/>
      <c r="U395" s="64"/>
      <c r="V395" s="64"/>
      <c r="W395" s="64"/>
      <c r="X395" s="64"/>
      <c r="Y395" s="64"/>
      <c r="Z395" s="64"/>
    </row>
    <row r="396">
      <c r="A396" s="72" t="s">
        <v>917</v>
      </c>
      <c r="B396" s="72" t="s">
        <v>1455</v>
      </c>
      <c r="C396" s="72" t="s">
        <v>1448</v>
      </c>
      <c r="D396" s="72" t="s">
        <v>1456</v>
      </c>
      <c r="E396" s="72" t="s">
        <v>1356</v>
      </c>
      <c r="F396" s="64"/>
      <c r="G396" s="108" t="s">
        <v>3</v>
      </c>
      <c r="H396" s="64"/>
      <c r="I396" s="64"/>
      <c r="J396" s="64"/>
      <c r="K396" s="64"/>
      <c r="L396" s="64"/>
      <c r="M396" s="64"/>
      <c r="N396" s="64"/>
      <c r="O396" s="64"/>
      <c r="P396" s="64"/>
      <c r="Q396" s="64"/>
      <c r="R396" s="64"/>
      <c r="S396" s="64"/>
      <c r="T396" s="64"/>
      <c r="U396" s="64"/>
      <c r="V396" s="64"/>
      <c r="W396" s="64"/>
      <c r="X396" s="64"/>
      <c r="Y396" s="64"/>
      <c r="Z396" s="64"/>
    </row>
    <row r="397">
      <c r="A397" s="72" t="s">
        <v>921</v>
      </c>
      <c r="B397" s="72" t="s">
        <v>1457</v>
      </c>
      <c r="C397" s="72" t="s">
        <v>1448</v>
      </c>
      <c r="D397" s="72" t="s">
        <v>1458</v>
      </c>
      <c r="E397" s="72" t="s">
        <v>1356</v>
      </c>
      <c r="F397" s="64"/>
      <c r="G397" s="108" t="s">
        <v>3</v>
      </c>
      <c r="H397" s="64"/>
      <c r="I397" s="64"/>
      <c r="J397" s="64"/>
      <c r="K397" s="64"/>
      <c r="L397" s="64"/>
      <c r="M397" s="64"/>
      <c r="N397" s="64"/>
      <c r="O397" s="64"/>
      <c r="P397" s="64"/>
      <c r="Q397" s="64"/>
      <c r="R397" s="64"/>
      <c r="S397" s="64"/>
      <c r="T397" s="64"/>
      <c r="U397" s="64"/>
      <c r="V397" s="64"/>
      <c r="W397" s="64"/>
      <c r="X397" s="64"/>
      <c r="Y397" s="64"/>
      <c r="Z397" s="64"/>
    </row>
    <row r="398">
      <c r="A398" s="72" t="s">
        <v>925</v>
      </c>
      <c r="B398" s="72" t="s">
        <v>1440</v>
      </c>
      <c r="C398" s="72" t="s">
        <v>1459</v>
      </c>
      <c r="D398" s="72" t="s">
        <v>1442</v>
      </c>
      <c r="E398" s="72" t="s">
        <v>1443</v>
      </c>
      <c r="F398" s="64"/>
      <c r="G398" s="108" t="s">
        <v>3</v>
      </c>
      <c r="H398" s="64"/>
      <c r="I398" s="64"/>
      <c r="J398" s="64"/>
      <c r="K398" s="64"/>
      <c r="L398" s="64"/>
      <c r="M398" s="64"/>
      <c r="N398" s="64"/>
      <c r="O398" s="64"/>
      <c r="P398" s="64"/>
      <c r="Q398" s="64"/>
      <c r="R398" s="64"/>
      <c r="S398" s="64"/>
      <c r="T398" s="64"/>
      <c r="U398" s="64"/>
      <c r="V398" s="64"/>
      <c r="W398" s="64"/>
      <c r="X398" s="64"/>
      <c r="Y398" s="64"/>
      <c r="Z398" s="64"/>
    </row>
    <row r="399">
      <c r="A399" s="72" t="s">
        <v>933</v>
      </c>
      <c r="B399" s="72" t="s">
        <v>1460</v>
      </c>
      <c r="C399" s="72" t="s">
        <v>1448</v>
      </c>
      <c r="D399" s="72" t="s">
        <v>1461</v>
      </c>
      <c r="E399" s="72" t="s">
        <v>1404</v>
      </c>
      <c r="F399" s="64"/>
      <c r="G399" s="108" t="s">
        <v>3</v>
      </c>
      <c r="H399" s="64"/>
      <c r="I399" s="64"/>
      <c r="J399" s="64"/>
      <c r="K399" s="64"/>
      <c r="L399" s="64"/>
      <c r="M399" s="64"/>
      <c r="N399" s="64"/>
      <c r="O399" s="64"/>
      <c r="P399" s="64"/>
      <c r="Q399" s="64"/>
      <c r="R399" s="64"/>
      <c r="S399" s="64"/>
      <c r="T399" s="64"/>
      <c r="U399" s="64"/>
      <c r="V399" s="64"/>
      <c r="W399" s="64"/>
      <c r="X399" s="64"/>
      <c r="Y399" s="64"/>
      <c r="Z399" s="64"/>
    </row>
    <row r="400">
      <c r="A400" s="72" t="s">
        <v>942</v>
      </c>
      <c r="B400" s="72" t="s">
        <v>1462</v>
      </c>
      <c r="C400" s="72" t="s">
        <v>1448</v>
      </c>
      <c r="D400" s="72" t="s">
        <v>1463</v>
      </c>
      <c r="E400" s="75" t="s">
        <v>1464</v>
      </c>
      <c r="F400" s="64"/>
      <c r="G400" s="108" t="s">
        <v>3</v>
      </c>
      <c r="H400" s="64"/>
      <c r="I400" s="64"/>
      <c r="J400" s="64"/>
      <c r="K400" s="64"/>
      <c r="L400" s="64"/>
      <c r="M400" s="64"/>
      <c r="N400" s="64"/>
      <c r="O400" s="64"/>
      <c r="P400" s="64"/>
      <c r="Q400" s="64"/>
      <c r="R400" s="64"/>
      <c r="S400" s="64"/>
      <c r="T400" s="64"/>
      <c r="U400" s="64"/>
      <c r="V400" s="64"/>
      <c r="W400" s="64"/>
      <c r="X400" s="64"/>
      <c r="Y400" s="64"/>
      <c r="Z400" s="64"/>
    </row>
    <row r="401">
      <c r="A401" s="104"/>
      <c r="B401" s="111" t="s">
        <v>1465</v>
      </c>
      <c r="C401" s="104"/>
      <c r="D401" s="104"/>
      <c r="E401" s="104"/>
      <c r="F401" s="69"/>
      <c r="G401" s="69"/>
      <c r="H401" s="64"/>
      <c r="I401" s="64"/>
      <c r="J401" s="64"/>
      <c r="K401" s="64"/>
      <c r="L401" s="64"/>
      <c r="M401" s="64"/>
      <c r="N401" s="64"/>
      <c r="O401" s="64"/>
      <c r="P401" s="64"/>
      <c r="Q401" s="64"/>
      <c r="R401" s="64"/>
      <c r="S401" s="64"/>
      <c r="T401" s="64"/>
      <c r="U401" s="64"/>
      <c r="V401" s="64"/>
      <c r="W401" s="64"/>
      <c r="X401" s="64"/>
      <c r="Y401" s="64"/>
      <c r="Z401" s="64"/>
    </row>
    <row r="402">
      <c r="A402" s="64"/>
      <c r="B402" s="75" t="s">
        <v>1466</v>
      </c>
      <c r="C402" s="75" t="s">
        <v>1467</v>
      </c>
      <c r="D402" s="75" t="s">
        <v>1468</v>
      </c>
      <c r="E402" s="75" t="s">
        <v>1469</v>
      </c>
      <c r="F402" s="64"/>
      <c r="G402" s="108" t="s">
        <v>3</v>
      </c>
      <c r="H402" s="64"/>
      <c r="I402" s="64"/>
      <c r="J402" s="64"/>
      <c r="K402" s="64"/>
      <c r="L402" s="64"/>
      <c r="M402" s="64"/>
      <c r="N402" s="64"/>
      <c r="O402" s="64"/>
      <c r="P402" s="64"/>
      <c r="Q402" s="64"/>
      <c r="R402" s="64"/>
      <c r="S402" s="64"/>
      <c r="T402" s="64"/>
      <c r="U402" s="64"/>
      <c r="V402" s="64"/>
      <c r="W402" s="64"/>
      <c r="X402" s="64"/>
      <c r="Y402" s="64"/>
      <c r="Z402" s="64"/>
    </row>
    <row r="403">
      <c r="A403" s="64"/>
      <c r="B403" s="109" t="s">
        <v>1470</v>
      </c>
      <c r="C403" s="75" t="s">
        <v>1467</v>
      </c>
      <c r="D403" s="109" t="s">
        <v>1471</v>
      </c>
      <c r="E403" s="75" t="s">
        <v>1472</v>
      </c>
      <c r="F403" s="64"/>
      <c r="G403" s="108" t="s">
        <v>3</v>
      </c>
      <c r="H403" s="64"/>
      <c r="I403" s="64"/>
      <c r="J403" s="64"/>
      <c r="K403" s="64"/>
      <c r="L403" s="64"/>
      <c r="M403" s="64"/>
      <c r="N403" s="64"/>
      <c r="O403" s="64"/>
      <c r="P403" s="64"/>
      <c r="Q403" s="64"/>
      <c r="R403" s="64"/>
      <c r="S403" s="64"/>
      <c r="T403" s="64"/>
      <c r="U403" s="64"/>
      <c r="V403" s="64"/>
      <c r="W403" s="64"/>
      <c r="X403" s="64"/>
      <c r="Y403" s="64"/>
      <c r="Z403" s="64"/>
    </row>
    <row r="404">
      <c r="A404" s="64"/>
      <c r="B404" s="109" t="s">
        <v>1473</v>
      </c>
      <c r="C404" s="75" t="s">
        <v>1474</v>
      </c>
      <c r="D404" s="109" t="s">
        <v>1475</v>
      </c>
      <c r="E404" s="75" t="s">
        <v>1476</v>
      </c>
      <c r="F404" s="64"/>
      <c r="G404" s="108" t="s">
        <v>3</v>
      </c>
      <c r="H404" s="64"/>
      <c r="I404" s="64"/>
      <c r="J404" s="64"/>
      <c r="K404" s="64"/>
      <c r="L404" s="64"/>
      <c r="M404" s="64"/>
      <c r="N404" s="64"/>
      <c r="O404" s="64"/>
      <c r="P404" s="64"/>
      <c r="Q404" s="64"/>
      <c r="R404" s="64"/>
      <c r="S404" s="64"/>
      <c r="T404" s="64"/>
      <c r="U404" s="64"/>
      <c r="V404" s="64"/>
      <c r="W404" s="64"/>
      <c r="X404" s="64"/>
      <c r="Y404" s="64"/>
      <c r="Z404" s="64"/>
    </row>
    <row r="405">
      <c r="A405" s="64"/>
      <c r="B405" s="109" t="s">
        <v>1477</v>
      </c>
      <c r="C405" s="75" t="s">
        <v>1467</v>
      </c>
      <c r="D405" s="109" t="s">
        <v>1478</v>
      </c>
      <c r="E405" s="75" t="s">
        <v>1479</v>
      </c>
      <c r="F405" s="64"/>
      <c r="G405" s="108" t="s">
        <v>3</v>
      </c>
      <c r="H405" s="64"/>
      <c r="I405" s="64"/>
      <c r="J405" s="64"/>
      <c r="K405" s="64"/>
      <c r="L405" s="64"/>
      <c r="M405" s="64"/>
      <c r="N405" s="64"/>
      <c r="O405" s="64"/>
      <c r="P405" s="64"/>
      <c r="Q405" s="64"/>
      <c r="R405" s="64"/>
      <c r="S405" s="64"/>
      <c r="T405" s="64"/>
      <c r="U405" s="64"/>
      <c r="V405" s="64"/>
      <c r="W405" s="64"/>
      <c r="X405" s="64"/>
      <c r="Y405" s="64"/>
      <c r="Z405" s="64"/>
    </row>
    <row r="406">
      <c r="A406" s="64"/>
      <c r="B406" s="109" t="s">
        <v>1480</v>
      </c>
      <c r="C406" s="75" t="s">
        <v>1481</v>
      </c>
      <c r="D406" s="109" t="s">
        <v>1475</v>
      </c>
      <c r="E406" s="109" t="s">
        <v>1482</v>
      </c>
      <c r="F406" s="64"/>
      <c r="G406" s="108"/>
      <c r="H406" s="64"/>
      <c r="I406" s="64"/>
      <c r="J406" s="64"/>
      <c r="K406" s="64"/>
      <c r="L406" s="64"/>
      <c r="M406" s="64"/>
      <c r="N406" s="64"/>
      <c r="O406" s="64"/>
      <c r="P406" s="64"/>
      <c r="Q406" s="64"/>
      <c r="R406" s="64"/>
      <c r="S406" s="64"/>
      <c r="T406" s="64"/>
      <c r="U406" s="64"/>
      <c r="V406" s="64"/>
      <c r="W406" s="64"/>
      <c r="X406" s="64"/>
      <c r="Y406" s="64"/>
      <c r="Z406" s="64"/>
    </row>
    <row r="407">
      <c r="A407" s="64"/>
      <c r="B407" s="109" t="s">
        <v>1483</v>
      </c>
      <c r="C407" s="75" t="s">
        <v>1467</v>
      </c>
      <c r="D407" s="109" t="s">
        <v>1484</v>
      </c>
      <c r="E407" s="109" t="s">
        <v>1485</v>
      </c>
      <c r="F407" s="64"/>
      <c r="G407" s="108" t="s">
        <v>3</v>
      </c>
      <c r="H407" s="64"/>
      <c r="I407" s="64"/>
      <c r="J407" s="64"/>
      <c r="K407" s="64"/>
      <c r="L407" s="64"/>
      <c r="M407" s="64"/>
      <c r="N407" s="64"/>
      <c r="O407" s="64"/>
      <c r="P407" s="64"/>
      <c r="Q407" s="64"/>
      <c r="R407" s="64"/>
      <c r="S407" s="64"/>
      <c r="T407" s="64"/>
      <c r="U407" s="64"/>
      <c r="V407" s="64"/>
      <c r="W407" s="64"/>
      <c r="X407" s="64"/>
      <c r="Y407" s="64"/>
      <c r="Z407" s="64"/>
    </row>
    <row r="408">
      <c r="A408" s="64"/>
      <c r="B408" s="109" t="s">
        <v>1486</v>
      </c>
      <c r="C408" s="75" t="s">
        <v>1467</v>
      </c>
      <c r="D408" s="109" t="s">
        <v>1487</v>
      </c>
      <c r="E408" s="75" t="s">
        <v>1488</v>
      </c>
      <c r="F408" s="64"/>
      <c r="G408" s="108" t="s">
        <v>3</v>
      </c>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104"/>
      <c r="B411" s="111" t="s">
        <v>1489</v>
      </c>
      <c r="C411" s="104"/>
      <c r="D411" s="104"/>
      <c r="E411" s="104"/>
      <c r="F411" s="69"/>
      <c r="G411" s="69"/>
      <c r="H411" s="64"/>
      <c r="I411" s="64"/>
      <c r="J411" s="64"/>
      <c r="K411" s="64"/>
      <c r="L411" s="64"/>
      <c r="M411" s="64"/>
      <c r="N411" s="64"/>
      <c r="O411" s="64"/>
      <c r="P411" s="64"/>
      <c r="Q411" s="64"/>
      <c r="R411" s="64"/>
      <c r="S411" s="64"/>
      <c r="T411" s="64"/>
      <c r="U411" s="64"/>
      <c r="V411" s="64"/>
      <c r="W411" s="64"/>
      <c r="X411" s="64"/>
      <c r="Y411" s="64"/>
      <c r="Z411" s="64"/>
    </row>
    <row r="412">
      <c r="A412" s="64"/>
      <c r="B412" s="75" t="s">
        <v>1490</v>
      </c>
      <c r="C412" s="75" t="s">
        <v>1491</v>
      </c>
      <c r="D412" s="75" t="s">
        <v>1492</v>
      </c>
      <c r="E412" s="75" t="s">
        <v>1493</v>
      </c>
      <c r="F412" s="72"/>
      <c r="G412" s="108" t="s">
        <v>3</v>
      </c>
      <c r="H412" s="64"/>
      <c r="I412" s="64"/>
      <c r="J412" s="64"/>
      <c r="K412" s="64"/>
      <c r="L412" s="64"/>
      <c r="M412" s="64"/>
      <c r="N412" s="64"/>
      <c r="O412" s="64"/>
      <c r="P412" s="64"/>
      <c r="Q412" s="64"/>
      <c r="R412" s="64"/>
      <c r="S412" s="64"/>
      <c r="T412" s="64"/>
      <c r="U412" s="64"/>
      <c r="V412" s="64"/>
      <c r="W412" s="64"/>
      <c r="X412" s="64"/>
      <c r="Y412" s="64"/>
      <c r="Z412" s="64"/>
    </row>
    <row r="413">
      <c r="A413" s="64"/>
      <c r="B413" s="75" t="s">
        <v>1494</v>
      </c>
      <c r="C413" s="72"/>
      <c r="D413" s="75" t="s">
        <v>1495</v>
      </c>
      <c r="E413" s="75" t="s">
        <v>1496</v>
      </c>
      <c r="F413" s="72"/>
      <c r="G413" s="108" t="s">
        <v>3</v>
      </c>
      <c r="H413" s="64"/>
      <c r="I413" s="64"/>
      <c r="J413" s="64"/>
      <c r="K413" s="64"/>
      <c r="L413" s="64"/>
      <c r="M413" s="64"/>
      <c r="N413" s="64"/>
      <c r="O413" s="64"/>
      <c r="P413" s="64"/>
      <c r="Q413" s="64"/>
      <c r="R413" s="64"/>
      <c r="S413" s="64"/>
      <c r="T413" s="64"/>
      <c r="U413" s="64"/>
      <c r="V413" s="64"/>
      <c r="W413" s="64"/>
      <c r="X413" s="64"/>
      <c r="Y413" s="64"/>
      <c r="Z413" s="64"/>
    </row>
    <row r="414">
      <c r="A414" s="64"/>
      <c r="B414" s="75" t="s">
        <v>1497</v>
      </c>
      <c r="C414" s="72"/>
      <c r="D414" s="75" t="s">
        <v>1498</v>
      </c>
      <c r="E414" s="75" t="s">
        <v>1499</v>
      </c>
      <c r="F414" s="72"/>
      <c r="G414" s="108" t="s">
        <v>3</v>
      </c>
      <c r="H414" s="64"/>
      <c r="I414" s="64"/>
      <c r="J414" s="64"/>
      <c r="K414" s="64"/>
      <c r="L414" s="64"/>
      <c r="M414" s="64"/>
      <c r="N414" s="64"/>
      <c r="O414" s="64"/>
      <c r="P414" s="64"/>
      <c r="Q414" s="64"/>
      <c r="R414" s="64"/>
      <c r="S414" s="64"/>
      <c r="T414" s="64"/>
      <c r="U414" s="64"/>
      <c r="V414" s="64"/>
      <c r="W414" s="64"/>
      <c r="X414" s="64"/>
      <c r="Y414" s="64"/>
      <c r="Z414" s="64"/>
    </row>
    <row r="415">
      <c r="A415" s="64"/>
      <c r="B415" s="75" t="s">
        <v>1500</v>
      </c>
      <c r="C415" s="75" t="s">
        <v>1486</v>
      </c>
      <c r="D415" s="75" t="s">
        <v>1501</v>
      </c>
      <c r="E415" s="75" t="s">
        <v>1502</v>
      </c>
      <c r="F415" s="72"/>
      <c r="G415" s="108" t="s">
        <v>3</v>
      </c>
      <c r="H415" s="64"/>
      <c r="I415" s="64"/>
      <c r="J415" s="64"/>
      <c r="K415" s="64"/>
      <c r="L415" s="64"/>
      <c r="M415" s="64"/>
      <c r="N415" s="64"/>
      <c r="O415" s="64"/>
      <c r="P415" s="64"/>
      <c r="Q415" s="64"/>
      <c r="R415" s="64"/>
      <c r="S415" s="64"/>
      <c r="T415" s="64"/>
      <c r="U415" s="64"/>
      <c r="V415" s="64"/>
      <c r="W415" s="64"/>
      <c r="X415" s="64"/>
      <c r="Y415" s="64"/>
      <c r="Z415" s="64"/>
    </row>
    <row r="416">
      <c r="A416" s="64"/>
      <c r="C416" s="75" t="s">
        <v>1503</v>
      </c>
      <c r="D416" s="75" t="s">
        <v>1504</v>
      </c>
      <c r="E416" s="75" t="s">
        <v>1505</v>
      </c>
      <c r="F416" s="72"/>
      <c r="G416" s="108" t="s">
        <v>3</v>
      </c>
      <c r="H416" s="64"/>
      <c r="I416" s="64"/>
      <c r="J416" s="64"/>
      <c r="K416" s="64"/>
      <c r="L416" s="64"/>
      <c r="M416" s="64"/>
      <c r="N416" s="64"/>
      <c r="O416" s="64"/>
      <c r="P416" s="64"/>
      <c r="Q416" s="64"/>
      <c r="R416" s="64"/>
      <c r="S416" s="64"/>
      <c r="T416" s="64"/>
      <c r="U416" s="64"/>
      <c r="V416" s="64"/>
      <c r="W416" s="64"/>
      <c r="X416" s="64"/>
      <c r="Y416" s="64"/>
      <c r="Z416" s="64"/>
    </row>
    <row r="417">
      <c r="A417" s="104"/>
      <c r="B417" s="111" t="s">
        <v>1506</v>
      </c>
      <c r="C417" s="104"/>
      <c r="D417" s="104"/>
      <c r="E417" s="104"/>
      <c r="F417" s="69"/>
      <c r="G417" s="69"/>
      <c r="H417" s="64"/>
      <c r="I417" s="64"/>
      <c r="J417" s="64"/>
      <c r="K417" s="64"/>
      <c r="L417" s="64"/>
      <c r="M417" s="64"/>
      <c r="N417" s="64"/>
      <c r="O417" s="64"/>
      <c r="P417" s="64"/>
      <c r="Q417" s="64"/>
      <c r="R417" s="64"/>
      <c r="S417" s="64"/>
      <c r="T417" s="64"/>
      <c r="U417" s="64"/>
      <c r="V417" s="64"/>
      <c r="W417" s="64"/>
      <c r="X417" s="64"/>
      <c r="Y417" s="64"/>
      <c r="Z417" s="64"/>
    </row>
    <row r="418">
      <c r="A418" s="72"/>
      <c r="B418" s="75" t="s">
        <v>1507</v>
      </c>
      <c r="C418" s="75" t="s">
        <v>1508</v>
      </c>
      <c r="D418" s="75" t="s">
        <v>1509</v>
      </c>
      <c r="E418" s="75" t="s">
        <v>1510</v>
      </c>
      <c r="F418" s="72"/>
      <c r="G418" s="107" t="s">
        <v>3</v>
      </c>
      <c r="H418" s="64"/>
      <c r="I418" s="64"/>
      <c r="J418" s="64"/>
      <c r="K418" s="64"/>
      <c r="L418" s="64"/>
      <c r="M418" s="64"/>
      <c r="N418" s="64"/>
      <c r="O418" s="64"/>
      <c r="P418" s="64"/>
      <c r="Q418" s="64"/>
      <c r="R418" s="64"/>
      <c r="S418" s="64"/>
      <c r="T418" s="64"/>
      <c r="U418" s="64"/>
      <c r="V418" s="64"/>
      <c r="W418" s="64"/>
      <c r="X418" s="64"/>
      <c r="Y418" s="64"/>
      <c r="Z418" s="64"/>
    </row>
    <row r="419">
      <c r="A419" s="72"/>
      <c r="B419" s="75" t="s">
        <v>1511</v>
      </c>
      <c r="C419" s="75"/>
      <c r="D419" s="75" t="s">
        <v>1512</v>
      </c>
      <c r="E419" s="75" t="s">
        <v>1473</v>
      </c>
      <c r="F419" s="72"/>
      <c r="G419" s="107" t="s">
        <v>3</v>
      </c>
      <c r="H419" s="64"/>
      <c r="I419" s="64"/>
      <c r="J419" s="64"/>
      <c r="K419" s="64"/>
      <c r="L419" s="64"/>
      <c r="M419" s="64"/>
      <c r="N419" s="64"/>
      <c r="O419" s="64"/>
      <c r="P419" s="64"/>
      <c r="Q419" s="64"/>
      <c r="R419" s="64"/>
      <c r="S419" s="64"/>
      <c r="T419" s="64"/>
      <c r="U419" s="64"/>
      <c r="V419" s="64"/>
      <c r="W419" s="64"/>
      <c r="X419" s="64"/>
      <c r="Y419" s="64"/>
      <c r="Z419" s="64"/>
    </row>
    <row r="420">
      <c r="A420" s="72"/>
      <c r="B420" s="75" t="s">
        <v>1513</v>
      </c>
      <c r="C420" s="72"/>
      <c r="D420" s="75" t="s">
        <v>1509</v>
      </c>
      <c r="E420" s="75" t="s">
        <v>1514</v>
      </c>
      <c r="F420" s="72"/>
      <c r="G420" s="107" t="s">
        <v>3</v>
      </c>
      <c r="H420" s="64"/>
      <c r="I420" s="64"/>
      <c r="J420" s="64"/>
      <c r="K420" s="64"/>
      <c r="L420" s="64"/>
      <c r="M420" s="64"/>
      <c r="N420" s="64"/>
      <c r="O420" s="64"/>
      <c r="P420" s="64"/>
      <c r="Q420" s="64"/>
      <c r="R420" s="64"/>
      <c r="S420" s="64"/>
      <c r="T420" s="64"/>
      <c r="U420" s="64"/>
      <c r="V420" s="64"/>
      <c r="W420" s="64"/>
      <c r="X420" s="64"/>
      <c r="Y420" s="64"/>
      <c r="Z420" s="64"/>
    </row>
    <row r="421">
      <c r="A421" s="72"/>
      <c r="B421" s="75" t="s">
        <v>1515</v>
      </c>
      <c r="C421" s="72"/>
      <c r="D421" s="75" t="s">
        <v>1516</v>
      </c>
      <c r="E421" s="75" t="s">
        <v>1517</v>
      </c>
      <c r="F421" s="72"/>
      <c r="G421" s="107" t="s">
        <v>3</v>
      </c>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sheetData>
  <mergeCells count="1">
    <mergeCell ref="B415:B416"/>
  </mergeCells>
  <dataValidations>
    <dataValidation type="list" allowBlank="1" showErrorMessage="1" sqref="G6:G31 G33:G48 G50:G85 G87:G185 G187:G215 G217:G219 G222:G228 G230:G245 G247:G260 G262:G264 G266:G269 G271:G272 G274:G279 G281:G408 G411:G421">
      <formula1>"Pass,Fail,Pending,N/A,Accepted"</formula1>
    </dataValidation>
  </dataValidations>
  <hyperlinks>
    <hyperlink r:id="rId1" ref="E31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0.0"/>
    <col customWidth="1" min="2" max="2" width="33.13"/>
    <col customWidth="1" min="3" max="3" width="30.0"/>
    <col customWidth="1" min="4" max="4" width="30.5"/>
    <col customWidth="1" min="5" max="5" width="30.88"/>
    <col customWidth="1" min="6" max="6" width="26.13"/>
    <col customWidth="1" min="7" max="7" width="12.5"/>
  </cols>
  <sheetData>
    <row r="1">
      <c r="A1" s="40"/>
      <c r="B1" s="41" t="s">
        <v>29</v>
      </c>
      <c r="C1" s="41" t="s">
        <v>3</v>
      </c>
      <c r="D1" s="41" t="s">
        <v>4</v>
      </c>
      <c r="E1" s="41" t="s">
        <v>5</v>
      </c>
      <c r="F1" s="41" t="s">
        <v>6</v>
      </c>
      <c r="G1" s="41" t="s">
        <v>7</v>
      </c>
      <c r="H1" s="41" t="s">
        <v>30</v>
      </c>
      <c r="I1" s="64"/>
      <c r="J1" s="64"/>
      <c r="K1" s="64"/>
      <c r="L1" s="64"/>
      <c r="M1" s="64"/>
      <c r="N1" s="64"/>
      <c r="O1" s="64"/>
      <c r="P1" s="64"/>
      <c r="Q1" s="64"/>
      <c r="R1" s="64"/>
      <c r="S1" s="64"/>
      <c r="T1" s="64"/>
      <c r="U1" s="64"/>
      <c r="V1" s="64"/>
      <c r="W1" s="64"/>
      <c r="X1" s="64"/>
      <c r="Y1" s="64"/>
      <c r="Z1" s="64"/>
    </row>
    <row r="2">
      <c r="A2" s="40"/>
      <c r="B2" s="18"/>
      <c r="C2" s="46">
        <f>COUNTIF(G4:G1371,"Pass") +countif(G4:G1371,"Accepted")</f>
        <v>202</v>
      </c>
      <c r="D2" s="45">
        <f>COUNTIF(G4:G1371,"Fail")</f>
        <v>0</v>
      </c>
      <c r="E2" s="46">
        <f>COUNTIF(G4:G1371,"Pending")</f>
        <v>2</v>
      </c>
      <c r="F2" s="46">
        <f>COUNTIF(G4:G1371,"N/A")</f>
        <v>0</v>
      </c>
      <c r="G2" s="46">
        <f>H2-C2-D2-E2-F2</f>
        <v>0</v>
      </c>
      <c r="H2" s="46">
        <f>COUNTA(E4:E1492)</f>
        <v>204</v>
      </c>
      <c r="I2" s="64"/>
      <c r="J2" s="64"/>
      <c r="K2" s="64"/>
      <c r="L2" s="64"/>
      <c r="M2" s="64"/>
      <c r="N2" s="64"/>
      <c r="O2" s="64"/>
      <c r="P2" s="64"/>
      <c r="Q2" s="64"/>
      <c r="R2" s="64"/>
      <c r="S2" s="64"/>
      <c r="T2" s="64"/>
      <c r="U2" s="64"/>
      <c r="V2" s="64"/>
      <c r="W2" s="64"/>
      <c r="X2" s="64"/>
      <c r="Y2" s="64"/>
      <c r="Z2" s="64"/>
    </row>
    <row r="3">
      <c r="A3" s="65" t="s">
        <v>31</v>
      </c>
      <c r="B3" s="65" t="s">
        <v>32</v>
      </c>
      <c r="C3" s="65" t="s">
        <v>33</v>
      </c>
      <c r="D3" s="65" t="s">
        <v>34</v>
      </c>
      <c r="E3" s="65" t="s">
        <v>35</v>
      </c>
      <c r="F3" s="65" t="s">
        <v>36</v>
      </c>
      <c r="G3" s="65" t="s">
        <v>29</v>
      </c>
      <c r="H3" s="64"/>
      <c r="I3" s="64"/>
      <c r="J3" s="64"/>
      <c r="K3" s="64"/>
      <c r="L3" s="64"/>
      <c r="M3" s="64"/>
      <c r="N3" s="64"/>
      <c r="O3" s="64"/>
      <c r="P3" s="64"/>
      <c r="Q3" s="64"/>
      <c r="R3" s="64"/>
      <c r="S3" s="64"/>
      <c r="T3" s="64"/>
      <c r="U3" s="64"/>
      <c r="V3" s="64"/>
      <c r="W3" s="64"/>
      <c r="X3" s="64"/>
      <c r="Y3" s="64"/>
      <c r="Z3" s="64"/>
    </row>
    <row r="4">
      <c r="A4" s="66"/>
      <c r="B4" s="112" t="s">
        <v>89</v>
      </c>
      <c r="C4" s="66"/>
      <c r="D4" s="66"/>
      <c r="E4" s="66"/>
      <c r="F4" s="68"/>
      <c r="G4" s="68"/>
      <c r="H4" s="64"/>
      <c r="I4" s="64"/>
      <c r="J4" s="64"/>
      <c r="K4" s="64"/>
      <c r="L4" s="64"/>
      <c r="M4" s="64"/>
      <c r="N4" s="64"/>
      <c r="O4" s="64"/>
      <c r="P4" s="64"/>
      <c r="Q4" s="64"/>
      <c r="R4" s="64"/>
      <c r="S4" s="64"/>
      <c r="T4" s="64"/>
      <c r="U4" s="64"/>
      <c r="V4" s="64"/>
      <c r="W4" s="64"/>
      <c r="X4" s="64"/>
      <c r="Y4" s="64"/>
      <c r="Z4" s="64"/>
    </row>
    <row r="5">
      <c r="A5" s="69"/>
      <c r="B5" s="70" t="s">
        <v>1518</v>
      </c>
      <c r="C5" s="69"/>
      <c r="D5" s="69"/>
      <c r="E5" s="69"/>
      <c r="F5" s="71"/>
      <c r="G5" s="71"/>
      <c r="H5" s="64"/>
      <c r="I5" s="64"/>
      <c r="J5" s="64"/>
      <c r="K5" s="64"/>
      <c r="L5" s="64"/>
      <c r="M5" s="64"/>
      <c r="N5" s="64"/>
      <c r="O5" s="64"/>
      <c r="P5" s="64"/>
      <c r="Q5" s="64"/>
      <c r="R5" s="64"/>
      <c r="S5" s="64"/>
      <c r="T5" s="64"/>
      <c r="U5" s="64"/>
      <c r="V5" s="64"/>
      <c r="W5" s="64"/>
      <c r="X5" s="64"/>
      <c r="Y5" s="64"/>
      <c r="Z5" s="64"/>
    </row>
    <row r="6" outlineLevel="1">
      <c r="A6" s="72" t="s">
        <v>44</v>
      </c>
      <c r="B6" s="72" t="s">
        <v>1519</v>
      </c>
      <c r="C6" s="72" t="s">
        <v>1520</v>
      </c>
      <c r="D6" s="72" t="s">
        <v>1521</v>
      </c>
      <c r="E6" s="72" t="s">
        <v>1522</v>
      </c>
      <c r="F6" s="73"/>
      <c r="G6" s="74" t="s">
        <v>3</v>
      </c>
      <c r="H6" s="64"/>
      <c r="I6" s="64"/>
      <c r="J6" s="64"/>
      <c r="K6" s="64"/>
      <c r="L6" s="64"/>
      <c r="M6" s="64"/>
      <c r="N6" s="64"/>
      <c r="O6" s="64"/>
      <c r="P6" s="64"/>
      <c r="Q6" s="64"/>
      <c r="R6" s="64"/>
      <c r="S6" s="64"/>
      <c r="T6" s="64"/>
      <c r="U6" s="64"/>
      <c r="V6" s="64"/>
      <c r="W6" s="64"/>
      <c r="X6" s="64"/>
      <c r="Y6" s="64"/>
      <c r="Z6" s="64"/>
    </row>
    <row r="7" outlineLevel="1">
      <c r="A7" s="72" t="s">
        <v>51</v>
      </c>
      <c r="B7" s="72" t="s">
        <v>1523</v>
      </c>
      <c r="C7" s="72" t="s">
        <v>1524</v>
      </c>
      <c r="D7" s="72" t="s">
        <v>1525</v>
      </c>
      <c r="E7" s="72" t="s">
        <v>1526</v>
      </c>
      <c r="F7" s="73"/>
      <c r="G7" s="74" t="s">
        <v>3</v>
      </c>
      <c r="H7" s="64"/>
      <c r="I7" s="64"/>
      <c r="J7" s="64"/>
      <c r="K7" s="64"/>
      <c r="L7" s="64"/>
      <c r="M7" s="64"/>
      <c r="N7" s="64"/>
      <c r="O7" s="64"/>
      <c r="P7" s="64"/>
      <c r="Q7" s="64"/>
      <c r="R7" s="64"/>
      <c r="S7" s="64"/>
      <c r="T7" s="64"/>
      <c r="U7" s="64"/>
      <c r="V7" s="64"/>
      <c r="W7" s="64"/>
      <c r="X7" s="64"/>
      <c r="Y7" s="64"/>
      <c r="Z7" s="64"/>
    </row>
    <row r="8" outlineLevel="1">
      <c r="A8" s="72" t="s">
        <v>57</v>
      </c>
      <c r="B8" s="72" t="s">
        <v>1527</v>
      </c>
      <c r="C8" s="72" t="s">
        <v>1528</v>
      </c>
      <c r="D8" s="72" t="s">
        <v>1529</v>
      </c>
      <c r="E8" s="75" t="s">
        <v>1530</v>
      </c>
      <c r="F8" s="78"/>
      <c r="G8" s="77" t="s">
        <v>3</v>
      </c>
      <c r="H8" s="64"/>
      <c r="I8" s="64"/>
      <c r="J8" s="64"/>
      <c r="K8" s="64"/>
      <c r="L8" s="64"/>
      <c r="M8" s="64"/>
      <c r="N8" s="64"/>
      <c r="O8" s="64"/>
      <c r="P8" s="64"/>
      <c r="Q8" s="64"/>
      <c r="R8" s="64"/>
      <c r="S8" s="64"/>
      <c r="T8" s="64"/>
      <c r="U8" s="64"/>
      <c r="V8" s="64"/>
      <c r="W8" s="64"/>
      <c r="X8" s="64"/>
      <c r="Y8" s="64"/>
      <c r="Z8" s="64"/>
    </row>
    <row r="9" outlineLevel="1">
      <c r="A9" s="72" t="s">
        <v>71</v>
      </c>
      <c r="B9" s="72" t="s">
        <v>1531</v>
      </c>
      <c r="C9" s="72" t="s">
        <v>1532</v>
      </c>
      <c r="D9" s="72" t="s">
        <v>1533</v>
      </c>
      <c r="E9" s="72" t="s">
        <v>1534</v>
      </c>
      <c r="F9" s="73"/>
      <c r="G9" s="74" t="s">
        <v>3</v>
      </c>
      <c r="H9" s="64"/>
      <c r="I9" s="64"/>
      <c r="J9" s="64"/>
      <c r="K9" s="64"/>
      <c r="L9" s="64"/>
      <c r="M9" s="64"/>
      <c r="N9" s="64"/>
      <c r="O9" s="64"/>
      <c r="P9" s="64"/>
      <c r="Q9" s="64"/>
      <c r="R9" s="64"/>
      <c r="S9" s="64"/>
      <c r="T9" s="64"/>
      <c r="U9" s="64"/>
      <c r="V9" s="64"/>
      <c r="W9" s="64"/>
      <c r="X9" s="64"/>
      <c r="Y9" s="64"/>
      <c r="Z9" s="64"/>
    </row>
    <row r="10" outlineLevel="1">
      <c r="A10" s="72" t="s">
        <v>75</v>
      </c>
      <c r="B10" s="72" t="s">
        <v>1535</v>
      </c>
      <c r="C10" s="72" t="s">
        <v>1532</v>
      </c>
      <c r="D10" s="72" t="s">
        <v>1536</v>
      </c>
      <c r="E10" s="72" t="s">
        <v>1537</v>
      </c>
      <c r="F10" s="73"/>
      <c r="G10" s="74" t="s">
        <v>3</v>
      </c>
      <c r="H10" s="64"/>
      <c r="I10" s="64"/>
      <c r="J10" s="64"/>
      <c r="K10" s="64"/>
      <c r="L10" s="64"/>
      <c r="M10" s="64"/>
      <c r="N10" s="64"/>
      <c r="O10" s="64"/>
      <c r="P10" s="64"/>
      <c r="Q10" s="64"/>
      <c r="R10" s="64"/>
      <c r="S10" s="64"/>
      <c r="T10" s="64"/>
      <c r="U10" s="64"/>
      <c r="V10" s="64"/>
      <c r="W10" s="64"/>
      <c r="X10" s="64"/>
      <c r="Y10" s="64"/>
      <c r="Z10" s="64"/>
    </row>
    <row r="11" outlineLevel="1">
      <c r="A11" s="72" t="s">
        <v>121</v>
      </c>
      <c r="B11" s="72" t="s">
        <v>1538</v>
      </c>
      <c r="C11" s="72" t="s">
        <v>1539</v>
      </c>
      <c r="D11" s="72" t="s">
        <v>1540</v>
      </c>
      <c r="E11" s="72" t="s">
        <v>1541</v>
      </c>
      <c r="F11" s="73"/>
      <c r="G11" s="74" t="s">
        <v>3</v>
      </c>
      <c r="H11" s="64"/>
      <c r="I11" s="64"/>
      <c r="J11" s="64"/>
      <c r="K11" s="64"/>
      <c r="L11" s="64"/>
      <c r="M11" s="64"/>
      <c r="N11" s="64"/>
      <c r="O11" s="64"/>
      <c r="P11" s="64"/>
      <c r="Q11" s="64"/>
      <c r="R11" s="64"/>
      <c r="S11" s="64"/>
      <c r="T11" s="64"/>
      <c r="U11" s="64"/>
      <c r="V11" s="64"/>
      <c r="W11" s="64"/>
      <c r="X11" s="64"/>
      <c r="Y11" s="64"/>
      <c r="Z11" s="64"/>
    </row>
    <row r="12" outlineLevel="1">
      <c r="A12" s="72" t="s">
        <v>130</v>
      </c>
      <c r="B12" s="72" t="s">
        <v>1542</v>
      </c>
      <c r="C12" s="72" t="s">
        <v>1543</v>
      </c>
      <c r="D12" s="72" t="s">
        <v>1544</v>
      </c>
      <c r="E12" s="72" t="s">
        <v>1545</v>
      </c>
      <c r="F12" s="73"/>
      <c r="G12" s="74" t="s">
        <v>3</v>
      </c>
      <c r="H12" s="64"/>
      <c r="I12" s="64"/>
      <c r="J12" s="64"/>
      <c r="K12" s="64"/>
      <c r="L12" s="64"/>
      <c r="M12" s="64"/>
      <c r="N12" s="64"/>
      <c r="O12" s="64"/>
      <c r="P12" s="64"/>
      <c r="Q12" s="64"/>
      <c r="R12" s="64"/>
      <c r="S12" s="64"/>
      <c r="T12" s="64"/>
      <c r="U12" s="64"/>
      <c r="V12" s="64"/>
      <c r="W12" s="64"/>
      <c r="X12" s="64"/>
      <c r="Y12" s="64"/>
      <c r="Z12" s="64"/>
    </row>
    <row r="13" outlineLevel="1">
      <c r="A13" s="72" t="s">
        <v>134</v>
      </c>
      <c r="B13" s="72" t="s">
        <v>1546</v>
      </c>
      <c r="C13" s="72" t="s">
        <v>1547</v>
      </c>
      <c r="D13" s="72" t="s">
        <v>1548</v>
      </c>
      <c r="E13" s="72" t="s">
        <v>1549</v>
      </c>
      <c r="F13" s="73"/>
      <c r="G13" s="74" t="s">
        <v>3</v>
      </c>
      <c r="H13" s="64"/>
      <c r="I13" s="64"/>
      <c r="J13" s="64"/>
      <c r="K13" s="64"/>
      <c r="L13" s="64"/>
      <c r="M13" s="64"/>
      <c r="N13" s="64"/>
      <c r="O13" s="64"/>
      <c r="P13" s="64"/>
      <c r="Q13" s="64"/>
      <c r="R13" s="64"/>
      <c r="S13" s="64"/>
      <c r="T13" s="64"/>
      <c r="U13" s="64"/>
      <c r="V13" s="64"/>
      <c r="W13" s="64"/>
      <c r="X13" s="64"/>
      <c r="Y13" s="64"/>
      <c r="Z13" s="64"/>
    </row>
    <row r="14">
      <c r="A14" s="69"/>
      <c r="B14" s="70" t="s">
        <v>1550</v>
      </c>
      <c r="C14" s="69"/>
      <c r="D14" s="69"/>
      <c r="E14" s="69"/>
      <c r="F14" s="71"/>
      <c r="G14" s="71"/>
      <c r="H14" s="64"/>
      <c r="I14" s="64"/>
      <c r="J14" s="64"/>
      <c r="K14" s="64"/>
      <c r="L14" s="64"/>
      <c r="M14" s="64"/>
      <c r="N14" s="64"/>
      <c r="O14" s="64"/>
      <c r="P14" s="64"/>
      <c r="Q14" s="64"/>
      <c r="R14" s="64"/>
      <c r="S14" s="64"/>
      <c r="T14" s="64"/>
      <c r="U14" s="64"/>
      <c r="V14" s="64"/>
      <c r="W14" s="64"/>
      <c r="X14" s="64"/>
      <c r="Y14" s="64"/>
      <c r="Z14" s="64"/>
    </row>
    <row r="15" outlineLevel="1">
      <c r="A15" s="72" t="s">
        <v>138</v>
      </c>
      <c r="B15" s="72" t="s">
        <v>1551</v>
      </c>
      <c r="C15" s="72" t="s">
        <v>1552</v>
      </c>
      <c r="D15" s="72" t="s">
        <v>1553</v>
      </c>
      <c r="E15" s="72" t="s">
        <v>1554</v>
      </c>
      <c r="F15" s="73"/>
      <c r="G15" s="74" t="s">
        <v>3</v>
      </c>
      <c r="H15" s="64"/>
      <c r="I15" s="64"/>
      <c r="J15" s="64"/>
      <c r="K15" s="64"/>
      <c r="L15" s="64"/>
      <c r="M15" s="64"/>
      <c r="N15" s="64"/>
      <c r="O15" s="64"/>
      <c r="P15" s="64"/>
      <c r="Q15" s="64"/>
      <c r="R15" s="64"/>
      <c r="S15" s="64"/>
      <c r="T15" s="64"/>
      <c r="U15" s="64"/>
      <c r="V15" s="64"/>
      <c r="W15" s="64"/>
      <c r="X15" s="64"/>
      <c r="Y15" s="64"/>
      <c r="Z15" s="64"/>
    </row>
    <row r="16" outlineLevel="1">
      <c r="A16" s="72" t="s">
        <v>143</v>
      </c>
      <c r="B16" s="72" t="s">
        <v>1555</v>
      </c>
      <c r="C16" s="72" t="s">
        <v>1556</v>
      </c>
      <c r="D16" s="72" t="s">
        <v>1557</v>
      </c>
      <c r="E16" s="72" t="s">
        <v>1558</v>
      </c>
      <c r="F16" s="73"/>
      <c r="G16" s="74" t="s">
        <v>3</v>
      </c>
      <c r="H16" s="64"/>
      <c r="I16" s="64"/>
      <c r="J16" s="64"/>
      <c r="K16" s="64"/>
      <c r="L16" s="64"/>
      <c r="M16" s="64"/>
      <c r="N16" s="64"/>
      <c r="O16" s="64"/>
      <c r="P16" s="64"/>
      <c r="Q16" s="64"/>
      <c r="R16" s="64"/>
      <c r="S16" s="64"/>
      <c r="T16" s="64"/>
      <c r="U16" s="64"/>
      <c r="V16" s="64"/>
      <c r="W16" s="64"/>
      <c r="X16" s="64"/>
      <c r="Y16" s="64"/>
      <c r="Z16" s="64"/>
    </row>
    <row r="17" outlineLevel="1">
      <c r="A17" s="72" t="s">
        <v>152</v>
      </c>
      <c r="B17" s="72" t="s">
        <v>1559</v>
      </c>
      <c r="C17" s="72" t="s">
        <v>1560</v>
      </c>
      <c r="D17" s="72" t="s">
        <v>1561</v>
      </c>
      <c r="E17" s="72" t="s">
        <v>1562</v>
      </c>
      <c r="F17" s="73"/>
      <c r="G17" s="74" t="s">
        <v>3</v>
      </c>
      <c r="H17" s="64"/>
      <c r="I17" s="64"/>
      <c r="J17" s="64"/>
      <c r="K17" s="64"/>
      <c r="L17" s="64"/>
      <c r="M17" s="64"/>
      <c r="N17" s="64"/>
      <c r="O17" s="64"/>
      <c r="P17" s="64"/>
      <c r="Q17" s="64"/>
      <c r="R17" s="64"/>
      <c r="S17" s="64"/>
      <c r="T17" s="64"/>
      <c r="U17" s="64"/>
      <c r="V17" s="64"/>
      <c r="W17" s="64"/>
      <c r="X17" s="64"/>
      <c r="Y17" s="64"/>
      <c r="Z17" s="64"/>
    </row>
    <row r="18" outlineLevel="1">
      <c r="A18" s="72" t="s">
        <v>157</v>
      </c>
      <c r="B18" s="72" t="s">
        <v>1563</v>
      </c>
      <c r="C18" s="72" t="s">
        <v>1556</v>
      </c>
      <c r="D18" s="72" t="s">
        <v>1564</v>
      </c>
      <c r="E18" s="72" t="s">
        <v>1565</v>
      </c>
      <c r="F18" s="73"/>
      <c r="G18" s="74" t="s">
        <v>3</v>
      </c>
      <c r="H18" s="64"/>
      <c r="I18" s="64"/>
      <c r="J18" s="64"/>
      <c r="K18" s="64"/>
      <c r="L18" s="64"/>
      <c r="M18" s="64"/>
      <c r="N18" s="64"/>
      <c r="O18" s="64"/>
      <c r="P18" s="64"/>
      <c r="Q18" s="64"/>
      <c r="R18" s="64"/>
      <c r="S18" s="64"/>
      <c r="T18" s="64"/>
      <c r="U18" s="64"/>
      <c r="V18" s="64"/>
      <c r="W18" s="64"/>
      <c r="X18" s="64"/>
      <c r="Y18" s="64"/>
      <c r="Z18" s="64"/>
    </row>
    <row r="19" outlineLevel="1">
      <c r="A19" s="72" t="s">
        <v>162</v>
      </c>
      <c r="B19" s="72" t="s">
        <v>1566</v>
      </c>
      <c r="C19" s="72" t="s">
        <v>1556</v>
      </c>
      <c r="D19" s="72" t="s">
        <v>1567</v>
      </c>
      <c r="E19" s="72" t="s">
        <v>1568</v>
      </c>
      <c r="F19" s="73"/>
      <c r="G19" s="74" t="s">
        <v>3</v>
      </c>
      <c r="H19" s="64"/>
      <c r="I19" s="64"/>
      <c r="J19" s="64"/>
      <c r="K19" s="64"/>
      <c r="L19" s="64"/>
      <c r="M19" s="64"/>
      <c r="N19" s="64"/>
      <c r="O19" s="64"/>
      <c r="P19" s="64"/>
      <c r="Q19" s="64"/>
      <c r="R19" s="64"/>
      <c r="S19" s="64"/>
      <c r="T19" s="64"/>
      <c r="U19" s="64"/>
      <c r="V19" s="64"/>
      <c r="W19" s="64"/>
      <c r="X19" s="64"/>
      <c r="Y19" s="64"/>
      <c r="Z19" s="64"/>
    </row>
    <row r="20" outlineLevel="1">
      <c r="A20" s="72" t="s">
        <v>1569</v>
      </c>
      <c r="B20" s="72" t="s">
        <v>1570</v>
      </c>
      <c r="C20" s="72" t="s">
        <v>1571</v>
      </c>
      <c r="D20" s="72" t="s">
        <v>1572</v>
      </c>
      <c r="E20" s="72" t="s">
        <v>1573</v>
      </c>
      <c r="F20" s="73"/>
      <c r="G20" s="74" t="s">
        <v>3</v>
      </c>
      <c r="H20" s="64"/>
      <c r="I20" s="64"/>
      <c r="J20" s="64"/>
      <c r="K20" s="64"/>
      <c r="L20" s="64"/>
      <c r="M20" s="64"/>
      <c r="N20" s="64"/>
      <c r="O20" s="64"/>
      <c r="P20" s="64"/>
      <c r="Q20" s="64"/>
      <c r="R20" s="64"/>
      <c r="S20" s="64"/>
      <c r="T20" s="64"/>
      <c r="U20" s="64"/>
      <c r="V20" s="64"/>
      <c r="W20" s="64"/>
      <c r="X20" s="64"/>
      <c r="Y20" s="64"/>
      <c r="Z20" s="64"/>
    </row>
    <row r="21" outlineLevel="1">
      <c r="A21" s="72" t="s">
        <v>1574</v>
      </c>
      <c r="B21" s="72" t="s">
        <v>1575</v>
      </c>
      <c r="C21" s="72" t="s">
        <v>1560</v>
      </c>
      <c r="D21" s="72" t="s">
        <v>1576</v>
      </c>
      <c r="E21" s="72" t="s">
        <v>1577</v>
      </c>
      <c r="F21" s="73"/>
      <c r="G21" s="74" t="s">
        <v>3</v>
      </c>
      <c r="H21" s="64"/>
      <c r="I21" s="64"/>
      <c r="J21" s="64"/>
      <c r="K21" s="64"/>
      <c r="L21" s="64"/>
      <c r="M21" s="64"/>
      <c r="N21" s="64"/>
      <c r="O21" s="64"/>
      <c r="P21" s="64"/>
      <c r="Q21" s="64"/>
      <c r="R21" s="64"/>
      <c r="S21" s="64"/>
      <c r="T21" s="64"/>
      <c r="U21" s="64"/>
      <c r="V21" s="64"/>
      <c r="W21" s="64"/>
      <c r="X21" s="64"/>
      <c r="Y21" s="64"/>
      <c r="Z21" s="64"/>
    </row>
    <row r="22" outlineLevel="1">
      <c r="A22" s="72" t="s">
        <v>1578</v>
      </c>
      <c r="B22" s="72" t="s">
        <v>1579</v>
      </c>
      <c r="C22" s="72" t="s">
        <v>1556</v>
      </c>
      <c r="D22" s="72" t="s">
        <v>1572</v>
      </c>
      <c r="E22" s="72" t="s">
        <v>1580</v>
      </c>
      <c r="F22" s="73"/>
      <c r="G22" s="74" t="s">
        <v>3</v>
      </c>
      <c r="H22" s="64"/>
      <c r="I22" s="64"/>
      <c r="J22" s="64"/>
      <c r="K22" s="64"/>
      <c r="L22" s="64"/>
      <c r="M22" s="64"/>
      <c r="N22" s="64"/>
      <c r="O22" s="64"/>
      <c r="P22" s="64"/>
      <c r="Q22" s="64"/>
      <c r="R22" s="64"/>
      <c r="S22" s="64"/>
      <c r="T22" s="64"/>
      <c r="U22" s="64"/>
      <c r="V22" s="64"/>
      <c r="W22" s="64"/>
      <c r="X22" s="64"/>
      <c r="Y22" s="64"/>
      <c r="Z22" s="64"/>
    </row>
    <row r="23">
      <c r="A23" s="69"/>
      <c r="B23" s="70" t="s">
        <v>1581</v>
      </c>
      <c r="C23" s="69"/>
      <c r="D23" s="69"/>
      <c r="E23" s="69"/>
      <c r="F23" s="71"/>
      <c r="G23" s="71"/>
      <c r="H23" s="64"/>
      <c r="I23" s="64"/>
      <c r="J23" s="64"/>
      <c r="K23" s="64"/>
      <c r="L23" s="64"/>
      <c r="M23" s="64"/>
      <c r="N23" s="64"/>
      <c r="O23" s="64"/>
      <c r="P23" s="64"/>
      <c r="Q23" s="64"/>
      <c r="R23" s="64"/>
      <c r="S23" s="64"/>
      <c r="T23" s="64"/>
      <c r="U23" s="64"/>
      <c r="V23" s="64"/>
      <c r="W23" s="64"/>
      <c r="X23" s="64"/>
      <c r="Y23" s="64"/>
      <c r="Z23" s="64"/>
    </row>
    <row r="24" outlineLevel="1">
      <c r="A24" s="72" t="s">
        <v>1582</v>
      </c>
      <c r="B24" s="72" t="s">
        <v>1583</v>
      </c>
      <c r="C24" s="72" t="s">
        <v>1584</v>
      </c>
      <c r="D24" s="72" t="s">
        <v>1585</v>
      </c>
      <c r="E24" s="72" t="s">
        <v>1586</v>
      </c>
      <c r="F24" s="64"/>
      <c r="G24" s="74" t="s">
        <v>3</v>
      </c>
      <c r="H24" s="64"/>
      <c r="I24" s="64"/>
      <c r="J24" s="64"/>
      <c r="K24" s="64"/>
      <c r="L24" s="64"/>
      <c r="M24" s="64"/>
      <c r="N24" s="64"/>
      <c r="O24" s="64"/>
      <c r="P24" s="64"/>
      <c r="Q24" s="64"/>
      <c r="R24" s="64"/>
      <c r="S24" s="64"/>
      <c r="T24" s="64"/>
      <c r="U24" s="64"/>
      <c r="V24" s="64"/>
      <c r="W24" s="64"/>
      <c r="X24" s="64"/>
      <c r="Y24" s="64"/>
      <c r="Z24" s="64"/>
    </row>
    <row r="25" outlineLevel="1">
      <c r="A25" s="72" t="s">
        <v>1587</v>
      </c>
      <c r="B25" s="72" t="s">
        <v>1588</v>
      </c>
      <c r="C25" s="72" t="s">
        <v>1589</v>
      </c>
      <c r="D25" s="72" t="s">
        <v>1590</v>
      </c>
      <c r="E25" s="72" t="s">
        <v>1591</v>
      </c>
      <c r="F25" s="73"/>
      <c r="G25" s="74" t="s">
        <v>3</v>
      </c>
      <c r="H25" s="64"/>
      <c r="I25" s="64"/>
      <c r="J25" s="64"/>
      <c r="K25" s="64"/>
      <c r="L25" s="64"/>
      <c r="M25" s="64"/>
      <c r="N25" s="64"/>
      <c r="O25" s="64"/>
      <c r="P25" s="64"/>
      <c r="Q25" s="64"/>
      <c r="R25" s="64"/>
      <c r="S25" s="64"/>
      <c r="T25" s="64"/>
      <c r="U25" s="64"/>
      <c r="V25" s="64"/>
      <c r="W25" s="64"/>
      <c r="X25" s="64"/>
      <c r="Y25" s="64"/>
      <c r="Z25" s="64"/>
    </row>
    <row r="26" outlineLevel="1">
      <c r="A26" s="72" t="s">
        <v>167</v>
      </c>
      <c r="B26" s="72" t="s">
        <v>1592</v>
      </c>
      <c r="C26" s="72" t="s">
        <v>1589</v>
      </c>
      <c r="D26" s="72" t="s">
        <v>1593</v>
      </c>
      <c r="E26" s="72" t="s">
        <v>1594</v>
      </c>
      <c r="F26" s="79"/>
      <c r="G26" s="74" t="s">
        <v>3</v>
      </c>
      <c r="H26" s="64"/>
      <c r="I26" s="64"/>
      <c r="J26" s="64"/>
      <c r="K26" s="64"/>
      <c r="L26" s="64"/>
      <c r="M26" s="64"/>
      <c r="N26" s="64"/>
      <c r="O26" s="64"/>
      <c r="P26" s="64"/>
      <c r="Q26" s="64"/>
      <c r="R26" s="64"/>
      <c r="S26" s="64"/>
      <c r="T26" s="64"/>
      <c r="U26" s="64"/>
      <c r="V26" s="64"/>
      <c r="W26" s="64"/>
      <c r="X26" s="64"/>
      <c r="Y26" s="64"/>
      <c r="Z26" s="64"/>
    </row>
    <row r="27" outlineLevel="1">
      <c r="A27" s="72" t="s">
        <v>1595</v>
      </c>
      <c r="B27" s="72" t="s">
        <v>1596</v>
      </c>
      <c r="C27" s="72" t="s">
        <v>1589</v>
      </c>
      <c r="D27" s="72" t="s">
        <v>1567</v>
      </c>
      <c r="E27" s="72" t="s">
        <v>1597</v>
      </c>
      <c r="F27" s="73"/>
      <c r="G27" s="74" t="s">
        <v>3</v>
      </c>
      <c r="H27" s="64"/>
      <c r="I27" s="64"/>
      <c r="J27" s="64"/>
      <c r="K27" s="64"/>
      <c r="L27" s="64"/>
      <c r="M27" s="64"/>
      <c r="N27" s="64"/>
      <c r="O27" s="64"/>
      <c r="P27" s="64"/>
      <c r="Q27" s="64"/>
      <c r="R27" s="64"/>
      <c r="S27" s="64"/>
      <c r="T27" s="64"/>
      <c r="U27" s="64"/>
      <c r="V27" s="64"/>
      <c r="W27" s="64"/>
      <c r="X27" s="64"/>
      <c r="Y27" s="64"/>
      <c r="Z27" s="64"/>
    </row>
    <row r="28" outlineLevel="1">
      <c r="A28" s="72" t="s">
        <v>1598</v>
      </c>
      <c r="B28" s="72" t="s">
        <v>1599</v>
      </c>
      <c r="C28" s="72" t="s">
        <v>1571</v>
      </c>
      <c r="D28" s="72" t="s">
        <v>1572</v>
      </c>
      <c r="E28" s="72" t="s">
        <v>1600</v>
      </c>
      <c r="F28" s="73"/>
      <c r="G28" s="74" t="s">
        <v>3</v>
      </c>
      <c r="H28" s="64"/>
      <c r="I28" s="64"/>
      <c r="J28" s="64"/>
      <c r="K28" s="64"/>
      <c r="L28" s="64"/>
      <c r="M28" s="64"/>
      <c r="N28" s="64"/>
      <c r="O28" s="64"/>
      <c r="P28" s="64"/>
      <c r="Q28" s="64"/>
      <c r="R28" s="64"/>
      <c r="S28" s="64"/>
      <c r="T28" s="64"/>
      <c r="U28" s="64"/>
      <c r="V28" s="64"/>
      <c r="W28" s="64"/>
      <c r="X28" s="64"/>
      <c r="Y28" s="64"/>
      <c r="Z28" s="64"/>
    </row>
    <row r="29" outlineLevel="1">
      <c r="A29" s="72" t="s">
        <v>176</v>
      </c>
      <c r="B29" s="72" t="s">
        <v>1601</v>
      </c>
      <c r="C29" s="72" t="s">
        <v>1602</v>
      </c>
      <c r="D29" s="72" t="s">
        <v>1576</v>
      </c>
      <c r="E29" s="72" t="s">
        <v>1603</v>
      </c>
      <c r="F29" s="73"/>
      <c r="G29" s="74" t="s">
        <v>3</v>
      </c>
      <c r="H29" s="64"/>
      <c r="I29" s="64"/>
      <c r="J29" s="64"/>
      <c r="K29" s="64"/>
      <c r="L29" s="64"/>
      <c r="M29" s="64"/>
      <c r="N29" s="64"/>
      <c r="O29" s="64"/>
      <c r="P29" s="64"/>
      <c r="Q29" s="64"/>
      <c r="R29" s="64"/>
      <c r="S29" s="64"/>
      <c r="T29" s="64"/>
      <c r="U29" s="64"/>
      <c r="V29" s="64"/>
      <c r="W29" s="64"/>
      <c r="X29" s="64"/>
      <c r="Y29" s="64"/>
      <c r="Z29" s="64"/>
    </row>
    <row r="30" outlineLevel="1">
      <c r="A30" s="72" t="s">
        <v>181</v>
      </c>
      <c r="B30" s="72" t="s">
        <v>1604</v>
      </c>
      <c r="C30" s="72" t="s">
        <v>1605</v>
      </c>
      <c r="D30" s="72" t="s">
        <v>1606</v>
      </c>
      <c r="E30" s="72" t="s">
        <v>1607</v>
      </c>
      <c r="F30" s="73"/>
      <c r="G30" s="74" t="s">
        <v>3</v>
      </c>
      <c r="H30" s="64"/>
      <c r="I30" s="64"/>
      <c r="J30" s="64"/>
      <c r="K30" s="64"/>
      <c r="L30" s="64"/>
      <c r="M30" s="64"/>
      <c r="N30" s="64"/>
      <c r="O30" s="64"/>
      <c r="P30" s="64"/>
      <c r="Q30" s="64"/>
      <c r="R30" s="64"/>
      <c r="S30" s="64"/>
      <c r="T30" s="64"/>
      <c r="U30" s="64"/>
      <c r="V30" s="64"/>
      <c r="W30" s="64"/>
      <c r="X30" s="64"/>
      <c r="Y30" s="64"/>
      <c r="Z30" s="64"/>
    </row>
    <row r="31" outlineLevel="1">
      <c r="A31" s="72" t="s">
        <v>185</v>
      </c>
      <c r="B31" s="72" t="s">
        <v>1608</v>
      </c>
      <c r="C31" s="72" t="s">
        <v>1589</v>
      </c>
      <c r="D31" s="72" t="s">
        <v>1572</v>
      </c>
      <c r="E31" s="72" t="s">
        <v>1609</v>
      </c>
      <c r="F31" s="73"/>
      <c r="G31" s="74" t="s">
        <v>3</v>
      </c>
      <c r="H31" s="64"/>
      <c r="I31" s="64"/>
      <c r="J31" s="64"/>
      <c r="K31" s="64"/>
      <c r="L31" s="64"/>
      <c r="M31" s="64"/>
      <c r="N31" s="64"/>
      <c r="O31" s="64"/>
      <c r="P31" s="64"/>
      <c r="Q31" s="64"/>
      <c r="R31" s="64"/>
      <c r="S31" s="64"/>
      <c r="T31" s="64"/>
      <c r="U31" s="64"/>
      <c r="V31" s="64"/>
      <c r="W31" s="64"/>
      <c r="X31" s="64"/>
      <c r="Y31" s="64"/>
      <c r="Z31" s="64"/>
    </row>
    <row r="32" outlineLevel="1">
      <c r="A32" s="72" t="s">
        <v>189</v>
      </c>
      <c r="B32" s="72" t="s">
        <v>1610</v>
      </c>
      <c r="C32" s="72" t="s">
        <v>1611</v>
      </c>
      <c r="D32" s="72" t="s">
        <v>1572</v>
      </c>
      <c r="E32" s="72" t="s">
        <v>1612</v>
      </c>
      <c r="F32" s="79"/>
      <c r="G32" s="74" t="s">
        <v>3</v>
      </c>
      <c r="H32" s="64"/>
      <c r="I32" s="64"/>
      <c r="J32" s="64"/>
      <c r="K32" s="64"/>
      <c r="L32" s="64"/>
      <c r="M32" s="64"/>
      <c r="N32" s="64"/>
      <c r="O32" s="64"/>
      <c r="P32" s="64"/>
      <c r="Q32" s="64"/>
      <c r="R32" s="64"/>
      <c r="S32" s="64"/>
      <c r="T32" s="64"/>
      <c r="U32" s="64"/>
      <c r="V32" s="64"/>
      <c r="W32" s="64"/>
      <c r="X32" s="64"/>
      <c r="Y32" s="64"/>
      <c r="Z32" s="64"/>
    </row>
    <row r="33" outlineLevel="1">
      <c r="A33" s="72" t="s">
        <v>194</v>
      </c>
      <c r="B33" s="72" t="s">
        <v>1613</v>
      </c>
      <c r="C33" s="72" t="s">
        <v>1611</v>
      </c>
      <c r="D33" s="72" t="s">
        <v>1614</v>
      </c>
      <c r="E33" s="72" t="s">
        <v>1615</v>
      </c>
      <c r="F33" s="73"/>
      <c r="G33" s="74" t="s">
        <v>3</v>
      </c>
      <c r="H33" s="64"/>
      <c r="I33" s="64"/>
      <c r="J33" s="64"/>
      <c r="K33" s="64"/>
      <c r="L33" s="64"/>
      <c r="M33" s="64"/>
      <c r="N33" s="64"/>
      <c r="O33" s="64"/>
      <c r="P33" s="64"/>
      <c r="Q33" s="64"/>
      <c r="R33" s="64"/>
      <c r="S33" s="64"/>
      <c r="T33" s="64"/>
      <c r="U33" s="64"/>
      <c r="V33" s="64"/>
      <c r="W33" s="64"/>
      <c r="X33" s="64"/>
      <c r="Y33" s="64"/>
      <c r="Z33" s="64"/>
    </row>
    <row r="34">
      <c r="A34" s="69"/>
      <c r="B34" s="70" t="s">
        <v>313</v>
      </c>
      <c r="C34" s="69"/>
      <c r="D34" s="69"/>
      <c r="E34" s="69"/>
      <c r="F34" s="71"/>
      <c r="G34" s="71"/>
      <c r="H34" s="64"/>
      <c r="I34" s="64"/>
      <c r="J34" s="64"/>
      <c r="K34" s="64"/>
      <c r="L34" s="64"/>
      <c r="M34" s="64"/>
      <c r="N34" s="64"/>
      <c r="O34" s="64"/>
      <c r="P34" s="64"/>
      <c r="Q34" s="64"/>
      <c r="R34" s="64"/>
      <c r="S34" s="64"/>
      <c r="T34" s="64"/>
      <c r="U34" s="64"/>
      <c r="V34" s="64"/>
      <c r="W34" s="64"/>
      <c r="X34" s="64"/>
      <c r="Y34" s="64"/>
      <c r="Z34" s="64"/>
    </row>
    <row r="35" outlineLevel="1">
      <c r="A35" s="72" t="s">
        <v>199</v>
      </c>
      <c r="B35" s="72" t="s">
        <v>1616</v>
      </c>
      <c r="C35" s="72" t="s">
        <v>1617</v>
      </c>
      <c r="D35" s="72" t="s">
        <v>1618</v>
      </c>
      <c r="E35" s="72" t="s">
        <v>1619</v>
      </c>
      <c r="F35" s="73"/>
      <c r="G35" s="74" t="s">
        <v>3</v>
      </c>
      <c r="H35" s="64"/>
      <c r="I35" s="64"/>
      <c r="J35" s="64"/>
      <c r="K35" s="64"/>
      <c r="L35" s="64"/>
      <c r="M35" s="64"/>
      <c r="N35" s="64"/>
      <c r="O35" s="64"/>
      <c r="P35" s="64"/>
      <c r="Q35" s="64"/>
      <c r="R35" s="64"/>
      <c r="S35" s="64"/>
      <c r="T35" s="64"/>
      <c r="U35" s="64"/>
      <c r="V35" s="64"/>
      <c r="W35" s="64"/>
      <c r="X35" s="64"/>
      <c r="Y35" s="64"/>
      <c r="Z35" s="64"/>
    </row>
    <row r="36" outlineLevel="1">
      <c r="A36" s="72" t="s">
        <v>1620</v>
      </c>
      <c r="B36" s="72" t="s">
        <v>1621</v>
      </c>
      <c r="C36" s="72" t="s">
        <v>1622</v>
      </c>
      <c r="D36" s="72" t="s">
        <v>1572</v>
      </c>
      <c r="E36" s="72" t="s">
        <v>1623</v>
      </c>
      <c r="F36" s="73"/>
      <c r="G36" s="74" t="s">
        <v>3</v>
      </c>
      <c r="H36" s="64"/>
      <c r="I36" s="64"/>
      <c r="J36" s="64"/>
      <c r="K36" s="64"/>
      <c r="L36" s="64"/>
      <c r="M36" s="64"/>
      <c r="N36" s="64"/>
      <c r="O36" s="64"/>
      <c r="P36" s="64"/>
      <c r="Q36" s="64"/>
      <c r="R36" s="64"/>
      <c r="S36" s="64"/>
      <c r="T36" s="64"/>
      <c r="U36" s="64"/>
      <c r="V36" s="64"/>
      <c r="W36" s="64"/>
      <c r="X36" s="64"/>
      <c r="Y36" s="64"/>
      <c r="Z36" s="64"/>
    </row>
    <row r="37" outlineLevel="1">
      <c r="A37" s="72" t="s">
        <v>1624</v>
      </c>
      <c r="B37" s="72" t="s">
        <v>1625</v>
      </c>
      <c r="C37" s="72" t="s">
        <v>1626</v>
      </c>
      <c r="D37" s="72" t="s">
        <v>1627</v>
      </c>
      <c r="E37" s="72" t="s">
        <v>1628</v>
      </c>
      <c r="F37" s="73"/>
      <c r="G37" s="74" t="s">
        <v>3</v>
      </c>
      <c r="H37" s="64"/>
      <c r="I37" s="64"/>
      <c r="J37" s="64"/>
      <c r="K37" s="64"/>
      <c r="L37" s="64"/>
      <c r="M37" s="64"/>
      <c r="N37" s="64"/>
      <c r="O37" s="64"/>
      <c r="P37" s="64"/>
      <c r="Q37" s="64"/>
      <c r="R37" s="64"/>
      <c r="S37" s="64"/>
      <c r="T37" s="64"/>
      <c r="U37" s="64"/>
      <c r="V37" s="64"/>
      <c r="W37" s="64"/>
      <c r="X37" s="64"/>
      <c r="Y37" s="64"/>
      <c r="Z37" s="64"/>
    </row>
    <row r="38" outlineLevel="1">
      <c r="A38" s="72" t="s">
        <v>1629</v>
      </c>
      <c r="B38" s="72" t="s">
        <v>1630</v>
      </c>
      <c r="C38" s="72" t="s">
        <v>1631</v>
      </c>
      <c r="D38" s="72" t="s">
        <v>1632</v>
      </c>
      <c r="E38" s="72" t="s">
        <v>1628</v>
      </c>
      <c r="F38" s="78"/>
      <c r="G38" s="77" t="s">
        <v>3</v>
      </c>
      <c r="H38" s="64"/>
      <c r="I38" s="64"/>
      <c r="J38" s="64"/>
      <c r="K38" s="64"/>
      <c r="L38" s="64"/>
      <c r="M38" s="64"/>
      <c r="N38" s="64"/>
      <c r="O38" s="64"/>
      <c r="P38" s="64"/>
      <c r="Q38" s="64"/>
      <c r="R38" s="64"/>
      <c r="S38" s="64"/>
      <c r="T38" s="64"/>
      <c r="U38" s="64"/>
      <c r="V38" s="64"/>
      <c r="W38" s="64"/>
      <c r="X38" s="64"/>
      <c r="Y38" s="64"/>
      <c r="Z38" s="64"/>
    </row>
    <row r="39">
      <c r="A39" s="66"/>
      <c r="B39" s="67" t="s">
        <v>1633</v>
      </c>
      <c r="C39" s="66"/>
      <c r="D39" s="66"/>
      <c r="E39" s="66"/>
      <c r="F39" s="68"/>
      <c r="G39" s="68"/>
      <c r="H39" s="64"/>
      <c r="I39" s="64"/>
      <c r="J39" s="64"/>
      <c r="K39" s="64"/>
      <c r="L39" s="64"/>
      <c r="M39" s="64"/>
      <c r="N39" s="64"/>
      <c r="O39" s="64"/>
      <c r="P39" s="64"/>
      <c r="Q39" s="64"/>
      <c r="R39" s="64"/>
      <c r="S39" s="64"/>
      <c r="T39" s="64"/>
      <c r="U39" s="64"/>
      <c r="V39" s="64"/>
      <c r="W39" s="64"/>
      <c r="X39" s="64"/>
      <c r="Y39" s="64"/>
      <c r="Z39" s="64"/>
    </row>
    <row r="40">
      <c r="A40" s="69"/>
      <c r="B40" s="70" t="s">
        <v>1634</v>
      </c>
      <c r="C40" s="69"/>
      <c r="D40" s="69"/>
      <c r="E40" s="69"/>
      <c r="F40" s="71"/>
      <c r="G40" s="71"/>
      <c r="H40" s="64"/>
      <c r="I40" s="64"/>
      <c r="J40" s="64"/>
      <c r="K40" s="64"/>
      <c r="L40" s="64"/>
      <c r="M40" s="64"/>
      <c r="N40" s="64"/>
      <c r="O40" s="64"/>
      <c r="P40" s="64"/>
      <c r="Q40" s="64"/>
      <c r="R40" s="64"/>
      <c r="S40" s="64"/>
      <c r="T40" s="64"/>
      <c r="U40" s="64"/>
      <c r="V40" s="64"/>
      <c r="W40" s="64"/>
      <c r="X40" s="64"/>
      <c r="Y40" s="64"/>
      <c r="Z40" s="64"/>
    </row>
    <row r="41" outlineLevel="1">
      <c r="A41" s="72" t="s">
        <v>1635</v>
      </c>
      <c r="B41" s="72" t="s">
        <v>1636</v>
      </c>
      <c r="C41" s="72" t="s">
        <v>1637</v>
      </c>
      <c r="D41" s="72" t="s">
        <v>1638</v>
      </c>
      <c r="E41" s="72" t="s">
        <v>1639</v>
      </c>
      <c r="F41" s="73"/>
      <c r="G41" s="74" t="s">
        <v>3</v>
      </c>
      <c r="H41" s="64"/>
      <c r="I41" s="64"/>
      <c r="J41" s="64"/>
      <c r="K41" s="64"/>
      <c r="L41" s="64"/>
      <c r="M41" s="64"/>
      <c r="N41" s="64"/>
      <c r="O41" s="64"/>
      <c r="P41" s="64"/>
      <c r="Q41" s="64"/>
      <c r="R41" s="64"/>
      <c r="S41" s="64"/>
      <c r="T41" s="64"/>
      <c r="U41" s="64"/>
      <c r="V41" s="64"/>
      <c r="W41" s="64"/>
      <c r="X41" s="64"/>
      <c r="Y41" s="64"/>
      <c r="Z41" s="64"/>
    </row>
    <row r="42" outlineLevel="1">
      <c r="A42" s="72" t="s">
        <v>1640</v>
      </c>
      <c r="B42" s="72" t="s">
        <v>1641</v>
      </c>
      <c r="C42" s="72" t="s">
        <v>1642</v>
      </c>
      <c r="D42" s="72" t="s">
        <v>1643</v>
      </c>
      <c r="E42" s="72" t="s">
        <v>1644</v>
      </c>
      <c r="F42" s="79"/>
      <c r="G42" s="74" t="s">
        <v>3</v>
      </c>
      <c r="H42" s="64"/>
      <c r="I42" s="64"/>
      <c r="J42" s="64"/>
      <c r="K42" s="64"/>
      <c r="L42" s="64"/>
      <c r="M42" s="64"/>
      <c r="N42" s="64"/>
      <c r="O42" s="64"/>
      <c r="P42" s="64"/>
      <c r="Q42" s="64"/>
      <c r="R42" s="64"/>
      <c r="S42" s="64"/>
      <c r="T42" s="64"/>
      <c r="U42" s="64"/>
      <c r="V42" s="64"/>
      <c r="W42" s="64"/>
      <c r="X42" s="64"/>
      <c r="Y42" s="64"/>
      <c r="Z42" s="64"/>
    </row>
    <row r="43" outlineLevel="1">
      <c r="A43" s="72" t="s">
        <v>1645</v>
      </c>
      <c r="B43" s="72" t="s">
        <v>1646</v>
      </c>
      <c r="C43" s="72" t="s">
        <v>1647</v>
      </c>
      <c r="D43" s="72" t="s">
        <v>1648</v>
      </c>
      <c r="E43" s="72" t="s">
        <v>1649</v>
      </c>
      <c r="F43" s="73"/>
      <c r="G43" s="74" t="s">
        <v>3</v>
      </c>
      <c r="H43" s="64"/>
      <c r="I43" s="64"/>
      <c r="J43" s="64"/>
      <c r="K43" s="64"/>
      <c r="L43" s="64"/>
      <c r="M43" s="64"/>
      <c r="N43" s="64"/>
      <c r="O43" s="64"/>
      <c r="P43" s="64"/>
      <c r="Q43" s="64"/>
      <c r="R43" s="64"/>
      <c r="S43" s="64"/>
      <c r="T43" s="64"/>
      <c r="U43" s="64"/>
      <c r="V43" s="64"/>
      <c r="W43" s="64"/>
      <c r="X43" s="64"/>
      <c r="Y43" s="64"/>
      <c r="Z43" s="64"/>
    </row>
    <row r="44" outlineLevel="1">
      <c r="A44" s="72" t="s">
        <v>1650</v>
      </c>
      <c r="B44" s="72" t="s">
        <v>1651</v>
      </c>
      <c r="C44" s="72" t="s">
        <v>1647</v>
      </c>
      <c r="D44" s="72" t="s">
        <v>965</v>
      </c>
      <c r="E44" s="72" t="s">
        <v>1652</v>
      </c>
      <c r="F44" s="73"/>
      <c r="G44" s="74" t="s">
        <v>3</v>
      </c>
      <c r="H44" s="64"/>
      <c r="I44" s="64"/>
      <c r="J44" s="64"/>
      <c r="K44" s="64"/>
      <c r="L44" s="64"/>
      <c r="M44" s="64"/>
      <c r="N44" s="64"/>
      <c r="O44" s="64"/>
      <c r="P44" s="64"/>
      <c r="Q44" s="64"/>
      <c r="R44" s="64"/>
      <c r="S44" s="64"/>
      <c r="T44" s="64"/>
      <c r="U44" s="64"/>
      <c r="V44" s="64"/>
      <c r="W44" s="64"/>
      <c r="X44" s="64"/>
      <c r="Y44" s="64"/>
      <c r="Z44" s="64"/>
    </row>
    <row r="45" outlineLevel="1">
      <c r="A45" s="72" t="s">
        <v>1653</v>
      </c>
      <c r="B45" s="72" t="s">
        <v>1654</v>
      </c>
      <c r="C45" s="72" t="s">
        <v>1647</v>
      </c>
      <c r="D45" s="72" t="s">
        <v>1655</v>
      </c>
      <c r="E45" s="72" t="s">
        <v>1656</v>
      </c>
      <c r="F45" s="80"/>
      <c r="G45" s="74" t="s">
        <v>3</v>
      </c>
      <c r="H45" s="64"/>
      <c r="I45" s="64"/>
      <c r="J45" s="64"/>
      <c r="K45" s="64"/>
      <c r="L45" s="64"/>
      <c r="M45" s="64"/>
      <c r="N45" s="64"/>
      <c r="O45" s="64"/>
      <c r="P45" s="64"/>
      <c r="Q45" s="64"/>
      <c r="R45" s="64"/>
      <c r="S45" s="64"/>
      <c r="T45" s="64"/>
      <c r="U45" s="64"/>
      <c r="V45" s="64"/>
      <c r="W45" s="64"/>
      <c r="X45" s="64"/>
      <c r="Y45" s="64"/>
      <c r="Z45" s="64"/>
    </row>
    <row r="46" outlineLevel="1">
      <c r="A46" s="72" t="s">
        <v>1657</v>
      </c>
      <c r="B46" s="72" t="s">
        <v>1658</v>
      </c>
      <c r="C46" s="72" t="s">
        <v>1647</v>
      </c>
      <c r="D46" s="72" t="s">
        <v>955</v>
      </c>
      <c r="E46" s="72" t="s">
        <v>1659</v>
      </c>
      <c r="F46" s="80"/>
      <c r="G46" s="74" t="s">
        <v>3</v>
      </c>
      <c r="H46" s="64"/>
      <c r="I46" s="64"/>
      <c r="J46" s="64"/>
      <c r="K46" s="64"/>
      <c r="L46" s="64"/>
      <c r="M46" s="64"/>
      <c r="N46" s="64"/>
      <c r="O46" s="64"/>
      <c r="P46" s="64"/>
      <c r="Q46" s="64"/>
      <c r="R46" s="64"/>
      <c r="S46" s="64"/>
      <c r="T46" s="64"/>
      <c r="U46" s="64"/>
      <c r="V46" s="64"/>
      <c r="W46" s="64"/>
      <c r="X46" s="64"/>
      <c r="Y46" s="64"/>
      <c r="Z46" s="64"/>
    </row>
    <row r="47" outlineLevel="1">
      <c r="A47" s="72" t="s">
        <v>1660</v>
      </c>
      <c r="B47" s="72" t="s">
        <v>1661</v>
      </c>
      <c r="C47" s="72" t="s">
        <v>1647</v>
      </c>
      <c r="D47" s="72" t="s">
        <v>1267</v>
      </c>
      <c r="E47" s="72" t="s">
        <v>1662</v>
      </c>
      <c r="F47" s="80"/>
      <c r="G47" s="74" t="s">
        <v>3</v>
      </c>
      <c r="H47" s="64"/>
      <c r="I47" s="64"/>
      <c r="J47" s="64"/>
      <c r="K47" s="64"/>
      <c r="L47" s="64"/>
      <c r="M47" s="64"/>
      <c r="N47" s="64"/>
      <c r="O47" s="64"/>
      <c r="P47" s="64"/>
      <c r="Q47" s="64"/>
      <c r="R47" s="64"/>
      <c r="S47" s="64"/>
      <c r="T47" s="64"/>
      <c r="U47" s="64"/>
      <c r="V47" s="64"/>
      <c r="W47" s="64"/>
      <c r="X47" s="64"/>
      <c r="Y47" s="64"/>
      <c r="Z47" s="64"/>
    </row>
    <row r="48" outlineLevel="1">
      <c r="A48" s="72" t="s">
        <v>1663</v>
      </c>
      <c r="B48" s="72" t="s">
        <v>1664</v>
      </c>
      <c r="C48" s="72" t="s">
        <v>1665</v>
      </c>
      <c r="D48" s="72" t="s">
        <v>1666</v>
      </c>
      <c r="E48" s="72" t="s">
        <v>1667</v>
      </c>
      <c r="F48" s="80"/>
      <c r="G48" s="74" t="s">
        <v>3</v>
      </c>
      <c r="H48" s="64"/>
      <c r="I48" s="64"/>
      <c r="J48" s="64"/>
      <c r="K48" s="64"/>
      <c r="L48" s="64"/>
      <c r="M48" s="64"/>
      <c r="N48" s="64"/>
      <c r="O48" s="64"/>
      <c r="P48" s="64"/>
      <c r="Q48" s="64"/>
      <c r="R48" s="64"/>
      <c r="S48" s="64"/>
      <c r="T48" s="64"/>
      <c r="U48" s="64"/>
      <c r="V48" s="64"/>
      <c r="W48" s="64"/>
      <c r="X48" s="64"/>
      <c r="Y48" s="64"/>
      <c r="Z48" s="64"/>
    </row>
    <row r="49">
      <c r="A49" s="69"/>
      <c r="B49" s="70" t="s">
        <v>1668</v>
      </c>
      <c r="C49" s="69"/>
      <c r="D49" s="69"/>
      <c r="E49" s="69"/>
      <c r="F49" s="71"/>
      <c r="G49" s="71"/>
      <c r="H49" s="64"/>
      <c r="I49" s="64"/>
      <c r="J49" s="64"/>
      <c r="K49" s="64"/>
      <c r="L49" s="64"/>
      <c r="M49" s="64"/>
      <c r="N49" s="64"/>
      <c r="O49" s="64"/>
      <c r="P49" s="64"/>
      <c r="Q49" s="64"/>
      <c r="R49" s="64"/>
      <c r="S49" s="64"/>
      <c r="T49" s="64"/>
      <c r="U49" s="64"/>
      <c r="V49" s="64"/>
      <c r="W49" s="64"/>
      <c r="X49" s="64"/>
      <c r="Y49" s="64"/>
      <c r="Z49" s="64"/>
    </row>
    <row r="50" outlineLevel="1">
      <c r="A50" s="72" t="s">
        <v>1669</v>
      </c>
      <c r="B50" s="72" t="s">
        <v>1670</v>
      </c>
      <c r="C50" s="72" t="s">
        <v>1671</v>
      </c>
      <c r="D50" s="72" t="s">
        <v>1267</v>
      </c>
      <c r="E50" s="72" t="s">
        <v>1672</v>
      </c>
      <c r="F50" s="80"/>
      <c r="G50" s="74" t="s">
        <v>3</v>
      </c>
      <c r="H50" s="64"/>
      <c r="I50" s="64"/>
      <c r="J50" s="64"/>
      <c r="K50" s="64"/>
      <c r="L50" s="64"/>
      <c r="M50" s="64"/>
      <c r="N50" s="64"/>
      <c r="O50" s="64"/>
      <c r="P50" s="64"/>
      <c r="Q50" s="64"/>
      <c r="R50" s="64"/>
      <c r="S50" s="64"/>
      <c r="T50" s="64"/>
      <c r="U50" s="64"/>
      <c r="V50" s="64"/>
      <c r="W50" s="64"/>
      <c r="X50" s="64"/>
      <c r="Y50" s="64"/>
      <c r="Z50" s="64"/>
    </row>
    <row r="51" outlineLevel="1">
      <c r="A51" s="72" t="s">
        <v>209</v>
      </c>
      <c r="B51" s="72" t="s">
        <v>953</v>
      </c>
      <c r="C51" s="72" t="s">
        <v>1665</v>
      </c>
      <c r="D51" s="72" t="s">
        <v>955</v>
      </c>
      <c r="E51" s="72" t="s">
        <v>1673</v>
      </c>
      <c r="F51" s="80"/>
      <c r="G51" s="74" t="s">
        <v>3</v>
      </c>
      <c r="H51" s="64"/>
      <c r="I51" s="64"/>
      <c r="J51" s="64"/>
      <c r="K51" s="64"/>
      <c r="L51" s="64"/>
      <c r="M51" s="64"/>
      <c r="N51" s="64"/>
      <c r="O51" s="64"/>
      <c r="P51" s="64"/>
      <c r="Q51" s="64"/>
      <c r="R51" s="64"/>
      <c r="S51" s="64"/>
      <c r="T51" s="64"/>
      <c r="U51" s="64"/>
      <c r="V51" s="64"/>
      <c r="W51" s="64"/>
      <c r="X51" s="64"/>
      <c r="Y51" s="64"/>
      <c r="Z51" s="64"/>
    </row>
    <row r="52" outlineLevel="1">
      <c r="A52" s="72" t="s">
        <v>214</v>
      </c>
      <c r="B52" s="72" t="s">
        <v>958</v>
      </c>
      <c r="C52" s="72" t="s">
        <v>1665</v>
      </c>
      <c r="D52" s="72" t="s">
        <v>955</v>
      </c>
      <c r="E52" s="72" t="s">
        <v>1674</v>
      </c>
      <c r="F52" s="80"/>
      <c r="G52" s="74" t="s">
        <v>3</v>
      </c>
      <c r="H52" s="64"/>
      <c r="I52" s="64"/>
      <c r="J52" s="64"/>
      <c r="K52" s="64"/>
      <c r="L52" s="64"/>
      <c r="M52" s="64"/>
      <c r="N52" s="64"/>
      <c r="O52" s="64"/>
      <c r="P52" s="64"/>
      <c r="Q52" s="64"/>
      <c r="R52" s="64"/>
      <c r="S52" s="64"/>
      <c r="T52" s="64"/>
      <c r="U52" s="64"/>
      <c r="V52" s="64"/>
      <c r="W52" s="64"/>
      <c r="X52" s="64"/>
      <c r="Y52" s="64"/>
      <c r="Z52" s="64"/>
    </row>
    <row r="53" outlineLevel="1">
      <c r="A53" s="72" t="s">
        <v>223</v>
      </c>
      <c r="B53" s="72" t="s">
        <v>961</v>
      </c>
      <c r="C53" s="72" t="s">
        <v>1665</v>
      </c>
      <c r="D53" s="72" t="s">
        <v>955</v>
      </c>
      <c r="E53" s="72" t="s">
        <v>962</v>
      </c>
      <c r="F53" s="80"/>
      <c r="G53" s="74" t="s">
        <v>3</v>
      </c>
      <c r="H53" s="64"/>
      <c r="I53" s="64"/>
      <c r="J53" s="64"/>
      <c r="K53" s="64"/>
      <c r="L53" s="64"/>
      <c r="M53" s="64"/>
      <c r="N53" s="64"/>
      <c r="O53" s="64"/>
      <c r="P53" s="64"/>
      <c r="Q53" s="64"/>
      <c r="R53" s="64"/>
      <c r="S53" s="64"/>
      <c r="T53" s="64"/>
      <c r="U53" s="64"/>
      <c r="V53" s="64"/>
      <c r="W53" s="64"/>
      <c r="X53" s="64"/>
      <c r="Y53" s="64"/>
      <c r="Z53" s="64"/>
    </row>
    <row r="54" outlineLevel="1">
      <c r="A54" s="72" t="s">
        <v>227</v>
      </c>
      <c r="B54" s="72" t="s">
        <v>1675</v>
      </c>
      <c r="C54" s="72" t="s">
        <v>1665</v>
      </c>
      <c r="D54" s="72" t="s">
        <v>1676</v>
      </c>
      <c r="E54" s="72" t="s">
        <v>1677</v>
      </c>
      <c r="F54" s="80"/>
      <c r="G54" s="74" t="s">
        <v>3</v>
      </c>
      <c r="H54" s="64"/>
      <c r="I54" s="64"/>
      <c r="J54" s="64"/>
      <c r="K54" s="64"/>
      <c r="L54" s="64"/>
      <c r="M54" s="64"/>
      <c r="N54" s="64"/>
      <c r="O54" s="64"/>
      <c r="P54" s="64"/>
      <c r="Q54" s="64"/>
      <c r="R54" s="64"/>
      <c r="S54" s="64"/>
      <c r="T54" s="64"/>
      <c r="U54" s="64"/>
      <c r="V54" s="64"/>
      <c r="W54" s="64"/>
      <c r="X54" s="64"/>
      <c r="Y54" s="64"/>
      <c r="Z54" s="64"/>
    </row>
    <row r="55" outlineLevel="1">
      <c r="A55" s="72" t="s">
        <v>231</v>
      </c>
      <c r="B55" s="72" t="s">
        <v>1678</v>
      </c>
      <c r="C55" s="72" t="s">
        <v>1665</v>
      </c>
      <c r="D55" s="72" t="s">
        <v>1679</v>
      </c>
      <c r="E55" s="72" t="s">
        <v>1680</v>
      </c>
      <c r="F55" s="80"/>
      <c r="G55" s="74" t="s">
        <v>3</v>
      </c>
      <c r="H55" s="64"/>
      <c r="I55" s="64"/>
      <c r="J55" s="64"/>
      <c r="K55" s="64"/>
      <c r="L55" s="64"/>
      <c r="M55" s="64"/>
      <c r="N55" s="64"/>
      <c r="O55" s="64"/>
      <c r="P55" s="64"/>
      <c r="Q55" s="64"/>
      <c r="R55" s="64"/>
      <c r="S55" s="64"/>
      <c r="T55" s="64"/>
      <c r="U55" s="64"/>
      <c r="V55" s="64"/>
      <c r="W55" s="64"/>
      <c r="X55" s="64"/>
      <c r="Y55" s="64"/>
      <c r="Z55" s="64"/>
    </row>
    <row r="56" outlineLevel="1">
      <c r="A56" s="72" t="s">
        <v>235</v>
      </c>
      <c r="B56" s="72" t="s">
        <v>972</v>
      </c>
      <c r="C56" s="72" t="s">
        <v>1665</v>
      </c>
      <c r="D56" s="72" t="s">
        <v>955</v>
      </c>
      <c r="E56" s="72" t="s">
        <v>973</v>
      </c>
      <c r="F56" s="80"/>
      <c r="G56" s="74" t="s">
        <v>3</v>
      </c>
      <c r="H56" s="64"/>
      <c r="I56" s="64"/>
      <c r="J56" s="64"/>
      <c r="K56" s="64"/>
      <c r="L56" s="64"/>
      <c r="M56" s="64"/>
      <c r="N56" s="64"/>
      <c r="O56" s="64"/>
      <c r="P56" s="64"/>
      <c r="Q56" s="64"/>
      <c r="R56" s="64"/>
      <c r="S56" s="64"/>
      <c r="T56" s="64"/>
      <c r="U56" s="64"/>
      <c r="V56" s="64"/>
      <c r="W56" s="64"/>
      <c r="X56" s="64"/>
      <c r="Y56" s="64"/>
      <c r="Z56" s="64"/>
    </row>
    <row r="57" outlineLevel="1">
      <c r="A57" s="72" t="s">
        <v>239</v>
      </c>
      <c r="B57" s="72" t="s">
        <v>975</v>
      </c>
      <c r="C57" s="72" t="s">
        <v>1665</v>
      </c>
      <c r="D57" s="72" t="s">
        <v>955</v>
      </c>
      <c r="E57" s="72" t="s">
        <v>976</v>
      </c>
      <c r="F57" s="80"/>
      <c r="G57" s="74" t="s">
        <v>3</v>
      </c>
      <c r="H57" s="64"/>
      <c r="I57" s="64"/>
      <c r="J57" s="64"/>
      <c r="K57" s="64"/>
      <c r="L57" s="64"/>
      <c r="M57" s="64"/>
      <c r="N57" s="64"/>
      <c r="O57" s="64"/>
      <c r="P57" s="64"/>
      <c r="Q57" s="64"/>
      <c r="R57" s="64"/>
      <c r="S57" s="64"/>
      <c r="T57" s="64"/>
      <c r="U57" s="64"/>
      <c r="V57" s="64"/>
      <c r="W57" s="64"/>
      <c r="X57" s="64"/>
      <c r="Y57" s="64"/>
      <c r="Z57" s="64"/>
    </row>
    <row r="58">
      <c r="A58" s="69"/>
      <c r="B58" s="113" t="s">
        <v>1681</v>
      </c>
      <c r="C58" s="69"/>
      <c r="D58" s="69"/>
      <c r="E58" s="69"/>
      <c r="F58" s="71"/>
      <c r="G58" s="71"/>
      <c r="H58" s="64"/>
      <c r="I58" s="64"/>
      <c r="J58" s="64"/>
      <c r="K58" s="64"/>
      <c r="L58" s="64"/>
      <c r="M58" s="64"/>
      <c r="N58" s="64"/>
      <c r="O58" s="64"/>
      <c r="P58" s="64"/>
      <c r="Q58" s="64"/>
      <c r="R58" s="64"/>
      <c r="S58" s="64"/>
      <c r="T58" s="64"/>
      <c r="U58" s="64"/>
      <c r="V58" s="64"/>
      <c r="W58" s="64"/>
      <c r="X58" s="64"/>
      <c r="Y58" s="64"/>
      <c r="Z58" s="64"/>
    </row>
    <row r="59" outlineLevel="1">
      <c r="A59" s="72" t="s">
        <v>247</v>
      </c>
      <c r="B59" s="72" t="s">
        <v>1682</v>
      </c>
      <c r="C59" s="72" t="s">
        <v>1665</v>
      </c>
      <c r="D59" s="72" t="s">
        <v>1683</v>
      </c>
      <c r="E59" s="72" t="s">
        <v>1060</v>
      </c>
      <c r="F59" s="80"/>
      <c r="G59" s="74" t="s">
        <v>3</v>
      </c>
      <c r="H59" s="64"/>
      <c r="I59" s="64"/>
      <c r="J59" s="64"/>
      <c r="K59" s="64"/>
      <c r="L59" s="64"/>
      <c r="M59" s="64"/>
      <c r="N59" s="64"/>
      <c r="O59" s="64"/>
      <c r="P59" s="64"/>
      <c r="Q59" s="64"/>
      <c r="R59" s="64"/>
      <c r="S59" s="64"/>
      <c r="T59" s="64"/>
      <c r="U59" s="64"/>
      <c r="V59" s="64"/>
      <c r="W59" s="64"/>
      <c r="X59" s="64"/>
      <c r="Y59" s="64"/>
      <c r="Z59" s="64"/>
    </row>
    <row r="60" outlineLevel="1">
      <c r="A60" s="72" t="s">
        <v>255</v>
      </c>
      <c r="B60" s="72" t="s">
        <v>1684</v>
      </c>
      <c r="C60" s="72" t="s">
        <v>1665</v>
      </c>
      <c r="D60" s="72" t="s">
        <v>1685</v>
      </c>
      <c r="E60" s="72" t="s">
        <v>1060</v>
      </c>
      <c r="F60" s="80"/>
      <c r="G60" s="74" t="s">
        <v>3</v>
      </c>
      <c r="H60" s="64"/>
      <c r="I60" s="64"/>
      <c r="J60" s="64"/>
      <c r="K60" s="64"/>
      <c r="L60" s="64"/>
      <c r="M60" s="64"/>
      <c r="N60" s="64"/>
      <c r="O60" s="64"/>
      <c r="P60" s="64"/>
      <c r="Q60" s="64"/>
      <c r="R60" s="64"/>
      <c r="S60" s="64"/>
      <c r="T60" s="64"/>
      <c r="U60" s="64"/>
      <c r="V60" s="64"/>
      <c r="W60" s="64"/>
      <c r="X60" s="64"/>
      <c r="Y60" s="64"/>
      <c r="Z60" s="64"/>
    </row>
    <row r="61" outlineLevel="1">
      <c r="A61" s="72" t="s">
        <v>1686</v>
      </c>
      <c r="B61" s="72" t="s">
        <v>987</v>
      </c>
      <c r="C61" s="72" t="s">
        <v>1665</v>
      </c>
      <c r="D61" s="72" t="s">
        <v>988</v>
      </c>
      <c r="E61" s="72" t="s">
        <v>989</v>
      </c>
      <c r="F61" s="80"/>
      <c r="G61" s="74" t="s">
        <v>3</v>
      </c>
      <c r="H61" s="64"/>
      <c r="I61" s="64"/>
      <c r="J61" s="64"/>
      <c r="K61" s="64"/>
      <c r="L61" s="64"/>
      <c r="M61" s="64"/>
      <c r="N61" s="64"/>
      <c r="O61" s="64"/>
      <c r="P61" s="64"/>
      <c r="Q61" s="64"/>
      <c r="R61" s="64"/>
      <c r="S61" s="64"/>
      <c r="T61" s="64"/>
      <c r="U61" s="64"/>
      <c r="V61" s="64"/>
      <c r="W61" s="64"/>
      <c r="X61" s="64"/>
      <c r="Y61" s="64"/>
      <c r="Z61" s="64"/>
    </row>
    <row r="62" outlineLevel="1">
      <c r="A62" s="72" t="s">
        <v>267</v>
      </c>
      <c r="B62" s="72" t="s">
        <v>995</v>
      </c>
      <c r="C62" s="72" t="s">
        <v>1665</v>
      </c>
      <c r="D62" s="72" t="s">
        <v>996</v>
      </c>
      <c r="E62" s="72" t="s">
        <v>997</v>
      </c>
      <c r="F62" s="80"/>
      <c r="G62" s="74" t="s">
        <v>3</v>
      </c>
      <c r="H62" s="64"/>
      <c r="I62" s="64"/>
      <c r="J62" s="64"/>
      <c r="K62" s="64"/>
      <c r="L62" s="64"/>
      <c r="M62" s="64"/>
      <c r="N62" s="64"/>
      <c r="O62" s="64"/>
      <c r="P62" s="64"/>
      <c r="Q62" s="64"/>
      <c r="R62" s="64"/>
      <c r="S62" s="64"/>
      <c r="T62" s="64"/>
      <c r="U62" s="64"/>
      <c r="V62" s="64"/>
      <c r="W62" s="64"/>
      <c r="X62" s="64"/>
      <c r="Y62" s="64"/>
      <c r="Z62" s="64"/>
    </row>
    <row r="63" outlineLevel="1">
      <c r="A63" s="72" t="s">
        <v>1687</v>
      </c>
      <c r="B63" s="72" t="s">
        <v>1004</v>
      </c>
      <c r="C63" s="72" t="s">
        <v>1665</v>
      </c>
      <c r="D63" s="72" t="s">
        <v>1005</v>
      </c>
      <c r="E63" s="72" t="s">
        <v>1006</v>
      </c>
      <c r="F63" s="80"/>
      <c r="G63" s="74" t="s">
        <v>3</v>
      </c>
      <c r="H63" s="64"/>
      <c r="I63" s="64"/>
      <c r="J63" s="64"/>
      <c r="K63" s="64"/>
      <c r="L63" s="64"/>
      <c r="M63" s="64"/>
      <c r="N63" s="64"/>
      <c r="O63" s="64"/>
      <c r="P63" s="64"/>
      <c r="Q63" s="64"/>
      <c r="R63" s="64"/>
      <c r="S63" s="64"/>
      <c r="T63" s="64"/>
      <c r="U63" s="64"/>
      <c r="V63" s="64"/>
      <c r="W63" s="64"/>
      <c r="X63" s="64"/>
      <c r="Y63" s="64"/>
      <c r="Z63" s="64"/>
    </row>
    <row r="64" outlineLevel="1">
      <c r="A64" s="72" t="s">
        <v>272</v>
      </c>
      <c r="B64" s="72" t="s">
        <v>1009</v>
      </c>
      <c r="C64" s="72" t="s">
        <v>1665</v>
      </c>
      <c r="D64" s="72" t="s">
        <v>1010</v>
      </c>
      <c r="E64" s="72" t="s">
        <v>1060</v>
      </c>
      <c r="F64" s="80"/>
      <c r="G64" s="74" t="s">
        <v>3</v>
      </c>
      <c r="H64" s="64"/>
      <c r="I64" s="64"/>
      <c r="J64" s="64"/>
      <c r="K64" s="64"/>
      <c r="L64" s="64"/>
      <c r="M64" s="64"/>
      <c r="N64" s="64"/>
      <c r="O64" s="64"/>
      <c r="P64" s="64"/>
      <c r="Q64" s="64"/>
      <c r="R64" s="64"/>
      <c r="S64" s="64"/>
      <c r="T64" s="64"/>
      <c r="U64" s="64"/>
      <c r="V64" s="64"/>
      <c r="W64" s="64"/>
      <c r="X64" s="64"/>
      <c r="Y64" s="64"/>
      <c r="Z64" s="64"/>
    </row>
    <row r="65" outlineLevel="1">
      <c r="A65" s="72" t="s">
        <v>283</v>
      </c>
      <c r="B65" s="72" t="s">
        <v>1017</v>
      </c>
      <c r="C65" s="72" t="s">
        <v>1665</v>
      </c>
      <c r="D65" s="72" t="s">
        <v>1018</v>
      </c>
      <c r="E65" s="72" t="s">
        <v>1019</v>
      </c>
      <c r="F65" s="80"/>
      <c r="G65" s="74" t="s">
        <v>3</v>
      </c>
      <c r="H65" s="64"/>
      <c r="I65" s="64"/>
      <c r="J65" s="64"/>
      <c r="K65" s="64"/>
      <c r="L65" s="64"/>
      <c r="M65" s="64"/>
      <c r="N65" s="64"/>
      <c r="O65" s="64"/>
      <c r="P65" s="64"/>
      <c r="Q65" s="64"/>
      <c r="R65" s="64"/>
      <c r="S65" s="64"/>
      <c r="T65" s="64"/>
      <c r="U65" s="64"/>
      <c r="V65" s="64"/>
      <c r="W65" s="64"/>
      <c r="X65" s="64"/>
      <c r="Y65" s="64"/>
      <c r="Z65" s="64"/>
    </row>
    <row r="66" outlineLevel="1">
      <c r="A66" s="72" t="s">
        <v>286</v>
      </c>
      <c r="B66" s="72" t="s">
        <v>1021</v>
      </c>
      <c r="C66" s="72" t="s">
        <v>1665</v>
      </c>
      <c r="D66" s="72" t="s">
        <v>1022</v>
      </c>
      <c r="E66" s="72" t="s">
        <v>1060</v>
      </c>
      <c r="F66" s="80"/>
      <c r="G66" s="74" t="s">
        <v>3</v>
      </c>
      <c r="H66" s="64"/>
      <c r="I66" s="64"/>
      <c r="J66" s="64"/>
      <c r="K66" s="64"/>
      <c r="L66" s="64"/>
      <c r="M66" s="64"/>
      <c r="N66" s="64"/>
      <c r="O66" s="64"/>
      <c r="P66" s="64"/>
      <c r="Q66" s="64"/>
      <c r="R66" s="64"/>
      <c r="S66" s="64"/>
      <c r="T66" s="64"/>
      <c r="U66" s="64"/>
      <c r="V66" s="64"/>
      <c r="W66" s="64"/>
      <c r="X66" s="64"/>
      <c r="Y66" s="64"/>
      <c r="Z66" s="64"/>
    </row>
    <row r="67" outlineLevel="1">
      <c r="A67" s="72" t="s">
        <v>291</v>
      </c>
      <c r="B67" s="72" t="s">
        <v>1025</v>
      </c>
      <c r="C67" s="72" t="s">
        <v>1665</v>
      </c>
      <c r="D67" s="72" t="s">
        <v>1026</v>
      </c>
      <c r="E67" s="72" t="s">
        <v>1688</v>
      </c>
      <c r="F67" s="80"/>
      <c r="G67" s="74" t="s">
        <v>3</v>
      </c>
      <c r="H67" s="64"/>
      <c r="I67" s="64"/>
      <c r="J67" s="64"/>
      <c r="K67" s="64"/>
      <c r="L67" s="64"/>
      <c r="M67" s="64"/>
      <c r="N67" s="64"/>
      <c r="O67" s="64"/>
      <c r="P67" s="64"/>
      <c r="Q67" s="64"/>
      <c r="R67" s="64"/>
      <c r="S67" s="64"/>
      <c r="T67" s="64"/>
      <c r="U67" s="64"/>
      <c r="V67" s="64"/>
      <c r="W67" s="64"/>
      <c r="X67" s="64"/>
      <c r="Y67" s="64"/>
      <c r="Z67" s="64"/>
    </row>
    <row r="68" outlineLevel="1">
      <c r="A68" s="72" t="s">
        <v>296</v>
      </c>
      <c r="B68" s="72" t="s">
        <v>1029</v>
      </c>
      <c r="C68" s="72" t="s">
        <v>1665</v>
      </c>
      <c r="D68" s="72" t="s">
        <v>1030</v>
      </c>
      <c r="E68" s="72" t="s">
        <v>1060</v>
      </c>
      <c r="F68" s="80"/>
      <c r="G68" s="74" t="s">
        <v>3</v>
      </c>
      <c r="H68" s="64"/>
      <c r="I68" s="64"/>
      <c r="J68" s="64"/>
      <c r="K68" s="64"/>
      <c r="L68" s="64"/>
      <c r="M68" s="64"/>
      <c r="N68" s="64"/>
      <c r="O68" s="64"/>
      <c r="P68" s="64"/>
      <c r="Q68" s="64"/>
      <c r="R68" s="64"/>
      <c r="S68" s="64"/>
      <c r="T68" s="64"/>
      <c r="U68" s="64"/>
      <c r="V68" s="64"/>
      <c r="W68" s="64"/>
      <c r="X68" s="64"/>
      <c r="Y68" s="64"/>
      <c r="Z68" s="64"/>
    </row>
    <row r="69" outlineLevel="1">
      <c r="A69" s="72" t="s">
        <v>300</v>
      </c>
      <c r="B69" s="72" t="s">
        <v>1037</v>
      </c>
      <c r="C69" s="72" t="s">
        <v>1665</v>
      </c>
      <c r="D69" s="72" t="s">
        <v>1038</v>
      </c>
      <c r="E69" s="72" t="s">
        <v>1060</v>
      </c>
      <c r="F69" s="80"/>
      <c r="G69" s="74" t="s">
        <v>3</v>
      </c>
      <c r="H69" s="64"/>
      <c r="I69" s="64"/>
      <c r="J69" s="64"/>
      <c r="K69" s="64"/>
      <c r="L69" s="64"/>
      <c r="M69" s="64"/>
      <c r="N69" s="64"/>
      <c r="O69" s="64"/>
      <c r="P69" s="64"/>
      <c r="Q69" s="64"/>
      <c r="R69" s="64"/>
      <c r="S69" s="64"/>
      <c r="T69" s="64"/>
      <c r="U69" s="64"/>
      <c r="V69" s="64"/>
      <c r="W69" s="64"/>
      <c r="X69" s="64"/>
      <c r="Y69" s="64"/>
      <c r="Z69" s="64"/>
    </row>
    <row r="70">
      <c r="A70" s="69"/>
      <c r="B70" s="113" t="s">
        <v>1689</v>
      </c>
      <c r="C70" s="69"/>
      <c r="D70" s="69"/>
      <c r="E70" s="69"/>
      <c r="F70" s="71"/>
      <c r="G70" s="71"/>
      <c r="H70" s="64"/>
      <c r="I70" s="64"/>
      <c r="J70" s="64"/>
      <c r="K70" s="64"/>
      <c r="L70" s="64"/>
      <c r="M70" s="64"/>
      <c r="N70" s="64"/>
      <c r="O70" s="64"/>
      <c r="P70" s="64"/>
      <c r="Q70" s="64"/>
      <c r="R70" s="64"/>
      <c r="S70" s="64"/>
      <c r="T70" s="64"/>
      <c r="U70" s="64"/>
      <c r="V70" s="64"/>
      <c r="W70" s="64"/>
      <c r="X70" s="64"/>
      <c r="Y70" s="64"/>
      <c r="Z70" s="64"/>
    </row>
    <row r="71" outlineLevel="1">
      <c r="A71" s="72" t="s">
        <v>309</v>
      </c>
      <c r="B71" s="72" t="s">
        <v>1045</v>
      </c>
      <c r="C71" s="72" t="s">
        <v>1665</v>
      </c>
      <c r="D71" s="72" t="s">
        <v>1046</v>
      </c>
      <c r="E71" s="72" t="s">
        <v>985</v>
      </c>
      <c r="F71" s="80"/>
      <c r="G71" s="74" t="s">
        <v>3</v>
      </c>
      <c r="H71" s="64"/>
      <c r="I71" s="64"/>
      <c r="J71" s="64"/>
      <c r="K71" s="64"/>
      <c r="L71" s="64"/>
      <c r="M71" s="64"/>
      <c r="N71" s="64"/>
      <c r="O71" s="64"/>
      <c r="P71" s="64"/>
      <c r="Q71" s="64"/>
      <c r="R71" s="64"/>
      <c r="S71" s="64"/>
      <c r="T71" s="64"/>
      <c r="U71" s="64"/>
      <c r="V71" s="64"/>
      <c r="W71" s="64"/>
      <c r="X71" s="64"/>
      <c r="Y71" s="64"/>
      <c r="Z71" s="64"/>
    </row>
    <row r="72" outlineLevel="1">
      <c r="A72" s="72" t="s">
        <v>1690</v>
      </c>
      <c r="B72" s="72" t="s">
        <v>1053</v>
      </c>
      <c r="C72" s="72" t="s">
        <v>1665</v>
      </c>
      <c r="D72" s="72" t="s">
        <v>1054</v>
      </c>
      <c r="E72" s="72" t="s">
        <v>1055</v>
      </c>
      <c r="F72" s="81" t="s">
        <v>1691</v>
      </c>
      <c r="G72" s="74" t="s">
        <v>3</v>
      </c>
      <c r="H72" s="64"/>
      <c r="I72" s="64"/>
      <c r="J72" s="64"/>
      <c r="K72" s="64"/>
      <c r="L72" s="64"/>
      <c r="M72" s="64"/>
      <c r="N72" s="64"/>
      <c r="O72" s="64"/>
      <c r="P72" s="64"/>
      <c r="Q72" s="64"/>
      <c r="R72" s="64"/>
      <c r="S72" s="64"/>
      <c r="T72" s="64"/>
      <c r="U72" s="64"/>
      <c r="V72" s="64"/>
      <c r="W72" s="64"/>
      <c r="X72" s="64"/>
      <c r="Y72" s="64"/>
      <c r="Z72" s="64"/>
    </row>
    <row r="73" outlineLevel="1">
      <c r="A73" s="72" t="s">
        <v>1692</v>
      </c>
      <c r="B73" s="72" t="s">
        <v>1058</v>
      </c>
      <c r="C73" s="72" t="s">
        <v>1665</v>
      </c>
      <c r="D73" s="72" t="s">
        <v>1693</v>
      </c>
      <c r="E73" s="72" t="s">
        <v>1694</v>
      </c>
      <c r="F73" s="80"/>
      <c r="G73" s="74" t="s">
        <v>3</v>
      </c>
      <c r="H73" s="64"/>
      <c r="I73" s="64"/>
      <c r="J73" s="64"/>
      <c r="K73" s="64"/>
      <c r="L73" s="64"/>
      <c r="M73" s="64"/>
      <c r="N73" s="64"/>
      <c r="O73" s="64"/>
      <c r="P73" s="64"/>
      <c r="Q73" s="64"/>
      <c r="R73" s="64"/>
      <c r="S73" s="64"/>
      <c r="T73" s="64"/>
      <c r="U73" s="64"/>
      <c r="V73" s="64"/>
      <c r="W73" s="64"/>
      <c r="X73" s="64"/>
      <c r="Y73" s="64"/>
      <c r="Z73" s="64"/>
    </row>
    <row r="74" outlineLevel="1">
      <c r="A74" s="72" t="s">
        <v>314</v>
      </c>
      <c r="B74" s="72" t="s">
        <v>1070</v>
      </c>
      <c r="C74" s="72" t="s">
        <v>1665</v>
      </c>
      <c r="D74" s="72" t="s">
        <v>1695</v>
      </c>
      <c r="E74" s="72" t="s">
        <v>1696</v>
      </c>
      <c r="F74" s="80"/>
      <c r="G74" s="74" t="s">
        <v>3</v>
      </c>
      <c r="H74" s="64"/>
      <c r="I74" s="64"/>
      <c r="J74" s="64"/>
      <c r="K74" s="64"/>
      <c r="L74" s="64"/>
      <c r="M74" s="64"/>
      <c r="N74" s="64"/>
      <c r="O74" s="64"/>
      <c r="P74" s="64"/>
      <c r="Q74" s="64"/>
      <c r="R74" s="64"/>
      <c r="S74" s="64"/>
      <c r="T74" s="64"/>
      <c r="U74" s="64"/>
      <c r="V74" s="64"/>
      <c r="W74" s="64"/>
      <c r="X74" s="64"/>
      <c r="Y74" s="64"/>
      <c r="Z74" s="64"/>
    </row>
    <row r="75" outlineLevel="1">
      <c r="A75" s="72" t="s">
        <v>1697</v>
      </c>
      <c r="B75" s="72" t="s">
        <v>1073</v>
      </c>
      <c r="C75" s="72" t="s">
        <v>1665</v>
      </c>
      <c r="D75" s="72" t="s">
        <v>1698</v>
      </c>
      <c r="E75" s="72" t="s">
        <v>1699</v>
      </c>
      <c r="F75" s="80"/>
      <c r="G75" s="74" t="s">
        <v>3</v>
      </c>
      <c r="H75" s="64"/>
      <c r="I75" s="64"/>
      <c r="J75" s="64"/>
      <c r="K75" s="64"/>
      <c r="L75" s="64"/>
      <c r="M75" s="64"/>
      <c r="N75" s="64"/>
      <c r="O75" s="64"/>
      <c r="P75" s="64"/>
      <c r="Q75" s="64"/>
      <c r="R75" s="64"/>
      <c r="S75" s="64"/>
      <c r="T75" s="64"/>
      <c r="U75" s="64"/>
      <c r="V75" s="64"/>
      <c r="W75" s="64"/>
      <c r="X75" s="64"/>
      <c r="Y75" s="64"/>
      <c r="Z75" s="64"/>
    </row>
    <row r="76" outlineLevel="1">
      <c r="A76" s="72" t="s">
        <v>319</v>
      </c>
      <c r="B76" s="72" t="s">
        <v>1077</v>
      </c>
      <c r="C76" s="72" t="s">
        <v>1665</v>
      </c>
      <c r="D76" s="72" t="s">
        <v>1078</v>
      </c>
      <c r="E76" s="72" t="s">
        <v>1079</v>
      </c>
      <c r="F76" s="80"/>
      <c r="G76" s="74" t="s">
        <v>3</v>
      </c>
      <c r="H76" s="64"/>
      <c r="I76" s="64"/>
      <c r="J76" s="64"/>
      <c r="K76" s="64"/>
      <c r="L76" s="64"/>
      <c r="M76" s="64"/>
      <c r="N76" s="64"/>
      <c r="O76" s="64"/>
      <c r="P76" s="64"/>
      <c r="Q76" s="64"/>
      <c r="R76" s="64"/>
      <c r="S76" s="64"/>
      <c r="T76" s="64"/>
      <c r="U76" s="64"/>
      <c r="V76" s="64"/>
      <c r="W76" s="64"/>
      <c r="X76" s="64"/>
      <c r="Y76" s="64"/>
      <c r="Z76" s="64"/>
    </row>
    <row r="77" outlineLevel="1">
      <c r="A77" s="72" t="s">
        <v>324</v>
      </c>
      <c r="B77" s="72" t="s">
        <v>1081</v>
      </c>
      <c r="C77" s="72" t="s">
        <v>1665</v>
      </c>
      <c r="D77" s="72" t="s">
        <v>1082</v>
      </c>
      <c r="E77" s="72" t="s">
        <v>997</v>
      </c>
      <c r="F77" s="80"/>
      <c r="G77" s="74" t="s">
        <v>3</v>
      </c>
      <c r="H77" s="64"/>
      <c r="I77" s="64"/>
      <c r="J77" s="64"/>
      <c r="K77" s="64"/>
      <c r="L77" s="64"/>
      <c r="M77" s="64"/>
      <c r="N77" s="64"/>
      <c r="O77" s="64"/>
      <c r="P77" s="64"/>
      <c r="Q77" s="64"/>
      <c r="R77" s="64"/>
      <c r="S77" s="64"/>
      <c r="T77" s="64"/>
      <c r="U77" s="64"/>
      <c r="V77" s="64"/>
      <c r="W77" s="64"/>
      <c r="X77" s="64"/>
      <c r="Y77" s="64"/>
      <c r="Z77" s="64"/>
    </row>
    <row r="78" outlineLevel="1">
      <c r="A78" s="72" t="s">
        <v>327</v>
      </c>
      <c r="B78" s="72" t="s">
        <v>1084</v>
      </c>
      <c r="C78" s="72" t="s">
        <v>1665</v>
      </c>
      <c r="D78" s="72" t="s">
        <v>1085</v>
      </c>
      <c r="E78" s="72" t="s">
        <v>1086</v>
      </c>
      <c r="F78" s="81" t="s">
        <v>1700</v>
      </c>
      <c r="G78" s="74" t="s">
        <v>3</v>
      </c>
      <c r="H78" s="64"/>
      <c r="I78" s="64"/>
      <c r="J78" s="64"/>
      <c r="K78" s="64"/>
      <c r="L78" s="64"/>
      <c r="M78" s="64"/>
      <c r="N78" s="64"/>
      <c r="O78" s="64"/>
      <c r="P78" s="64"/>
      <c r="Q78" s="64"/>
      <c r="R78" s="64"/>
      <c r="S78" s="64"/>
      <c r="T78" s="64"/>
      <c r="U78" s="64"/>
      <c r="V78" s="64"/>
      <c r="W78" s="64"/>
      <c r="X78" s="64"/>
      <c r="Y78" s="64"/>
      <c r="Z78" s="64"/>
    </row>
    <row r="79" outlineLevel="1">
      <c r="A79" s="72" t="s">
        <v>329</v>
      </c>
      <c r="B79" s="72" t="s">
        <v>1088</v>
      </c>
      <c r="C79" s="72" t="s">
        <v>1701</v>
      </c>
      <c r="D79" s="72" t="s">
        <v>1089</v>
      </c>
      <c r="E79" s="72" t="s">
        <v>1090</v>
      </c>
      <c r="F79" s="80"/>
      <c r="G79" s="74" t="s">
        <v>3</v>
      </c>
      <c r="H79" s="64"/>
      <c r="I79" s="64"/>
      <c r="J79" s="64"/>
      <c r="K79" s="64"/>
      <c r="L79" s="64"/>
      <c r="M79" s="64"/>
      <c r="N79" s="64"/>
      <c r="O79" s="64"/>
      <c r="P79" s="64"/>
      <c r="Q79" s="64"/>
      <c r="R79" s="64"/>
      <c r="S79" s="64"/>
      <c r="T79" s="64"/>
      <c r="U79" s="64"/>
      <c r="V79" s="64"/>
      <c r="W79" s="64"/>
      <c r="X79" s="64"/>
      <c r="Y79" s="64"/>
      <c r="Z79" s="64"/>
    </row>
    <row r="80" outlineLevel="1">
      <c r="A80" s="72" t="s">
        <v>335</v>
      </c>
      <c r="B80" s="72" t="s">
        <v>1092</v>
      </c>
      <c r="C80" s="72" t="s">
        <v>1702</v>
      </c>
      <c r="D80" s="72" t="s">
        <v>1093</v>
      </c>
      <c r="E80" s="72" t="s">
        <v>1094</v>
      </c>
      <c r="F80" s="80"/>
      <c r="G80" s="74" t="s">
        <v>3</v>
      </c>
      <c r="H80" s="64"/>
      <c r="I80" s="64"/>
      <c r="J80" s="64"/>
      <c r="K80" s="64"/>
      <c r="L80" s="64"/>
      <c r="M80" s="64"/>
      <c r="N80" s="64"/>
      <c r="O80" s="64"/>
      <c r="P80" s="64"/>
      <c r="Q80" s="64"/>
      <c r="R80" s="64"/>
      <c r="S80" s="64"/>
      <c r="T80" s="64"/>
      <c r="U80" s="64"/>
      <c r="V80" s="64"/>
      <c r="W80" s="64"/>
      <c r="X80" s="64"/>
      <c r="Y80" s="64"/>
      <c r="Z80" s="64"/>
    </row>
    <row r="81" outlineLevel="1">
      <c r="A81" s="72" t="s">
        <v>1703</v>
      </c>
      <c r="B81" s="72" t="s">
        <v>1097</v>
      </c>
      <c r="C81" s="72" t="s">
        <v>1704</v>
      </c>
      <c r="D81" s="72" t="s">
        <v>1098</v>
      </c>
      <c r="E81" s="72" t="s">
        <v>1099</v>
      </c>
      <c r="F81" s="80"/>
      <c r="G81" s="74" t="s">
        <v>3</v>
      </c>
      <c r="H81" s="64"/>
      <c r="I81" s="64"/>
      <c r="J81" s="64"/>
      <c r="K81" s="64"/>
      <c r="L81" s="64"/>
      <c r="M81" s="64"/>
      <c r="N81" s="64"/>
      <c r="O81" s="64"/>
      <c r="P81" s="64"/>
      <c r="Q81" s="64"/>
      <c r="R81" s="64"/>
      <c r="S81" s="64"/>
      <c r="T81" s="64"/>
      <c r="U81" s="64"/>
      <c r="V81" s="64"/>
      <c r="W81" s="64"/>
      <c r="X81" s="64"/>
      <c r="Y81" s="64"/>
      <c r="Z81" s="64"/>
    </row>
    <row r="82">
      <c r="A82" s="114"/>
      <c r="B82" s="115" t="s">
        <v>1705</v>
      </c>
      <c r="C82" s="114"/>
      <c r="D82" s="114"/>
      <c r="E82" s="114"/>
      <c r="F82" s="116"/>
      <c r="G82" s="116"/>
      <c r="H82" s="64"/>
      <c r="I82" s="64"/>
      <c r="J82" s="64"/>
      <c r="K82" s="64"/>
      <c r="L82" s="64"/>
      <c r="M82" s="64"/>
      <c r="N82" s="64"/>
      <c r="O82" s="64"/>
      <c r="P82" s="64"/>
      <c r="Q82" s="64"/>
      <c r="R82" s="64"/>
      <c r="S82" s="64"/>
      <c r="T82" s="64"/>
      <c r="U82" s="64"/>
      <c r="V82" s="64"/>
      <c r="W82" s="64"/>
      <c r="X82" s="64"/>
      <c r="Y82" s="64"/>
      <c r="Z82" s="64"/>
    </row>
    <row r="83">
      <c r="A83" s="72" t="s">
        <v>372</v>
      </c>
      <c r="B83" s="72" t="s">
        <v>1102</v>
      </c>
      <c r="C83" s="72" t="s">
        <v>1706</v>
      </c>
      <c r="D83" s="72" t="s">
        <v>1103</v>
      </c>
      <c r="E83" s="72" t="s">
        <v>1707</v>
      </c>
      <c r="F83" s="80"/>
      <c r="G83" s="74" t="s">
        <v>3</v>
      </c>
      <c r="H83" s="64"/>
      <c r="I83" s="64"/>
      <c r="J83" s="64"/>
      <c r="K83" s="64"/>
      <c r="L83" s="64"/>
      <c r="M83" s="64"/>
      <c r="N83" s="64"/>
      <c r="O83" s="64"/>
      <c r="P83" s="64"/>
      <c r="Q83" s="64"/>
      <c r="R83" s="64"/>
      <c r="S83" s="64"/>
      <c r="T83" s="64"/>
      <c r="U83" s="64"/>
      <c r="V83" s="64"/>
      <c r="W83" s="64"/>
      <c r="X83" s="64"/>
      <c r="Y83" s="64"/>
      <c r="Z83" s="64"/>
    </row>
    <row r="84">
      <c r="A84" s="72" t="s">
        <v>385</v>
      </c>
      <c r="B84" s="72" t="s">
        <v>1111</v>
      </c>
      <c r="C84" s="72" t="s">
        <v>1665</v>
      </c>
      <c r="D84" s="72" t="s">
        <v>1112</v>
      </c>
      <c r="E84" s="72" t="s">
        <v>1113</v>
      </c>
      <c r="F84" s="81" t="s">
        <v>1708</v>
      </c>
      <c r="G84" s="74" t="s">
        <v>3</v>
      </c>
      <c r="H84" s="64"/>
      <c r="I84" s="64"/>
      <c r="J84" s="64"/>
      <c r="K84" s="64"/>
      <c r="L84" s="64"/>
      <c r="M84" s="64"/>
      <c r="N84" s="64"/>
      <c r="O84" s="64"/>
      <c r="P84" s="64"/>
      <c r="Q84" s="64"/>
      <c r="R84" s="64"/>
      <c r="S84" s="64"/>
      <c r="T84" s="64"/>
      <c r="U84" s="64"/>
      <c r="V84" s="64"/>
      <c r="W84" s="64"/>
      <c r="X84" s="64"/>
      <c r="Y84" s="64"/>
      <c r="Z84" s="64"/>
    </row>
    <row r="85">
      <c r="A85" s="66"/>
      <c r="B85" s="67" t="s">
        <v>1174</v>
      </c>
      <c r="C85" s="66"/>
      <c r="D85" s="66"/>
      <c r="E85" s="66"/>
      <c r="F85" s="68"/>
      <c r="G85" s="68"/>
      <c r="H85" s="64"/>
      <c r="I85" s="64"/>
      <c r="J85" s="64"/>
      <c r="K85" s="64"/>
      <c r="L85" s="64"/>
      <c r="M85" s="64"/>
      <c r="N85" s="64"/>
      <c r="O85" s="64"/>
      <c r="P85" s="64"/>
      <c r="Q85" s="64"/>
      <c r="R85" s="64"/>
      <c r="S85" s="64"/>
      <c r="T85" s="64"/>
      <c r="U85" s="64"/>
      <c r="V85" s="64"/>
      <c r="W85" s="64"/>
      <c r="X85" s="64"/>
      <c r="Y85" s="64"/>
      <c r="Z85" s="64"/>
    </row>
    <row r="86">
      <c r="A86" s="104"/>
      <c r="B86" s="105" t="s">
        <v>1175</v>
      </c>
      <c r="C86" s="104"/>
      <c r="D86" s="104"/>
      <c r="E86" s="104"/>
      <c r="F86" s="69"/>
      <c r="G86" s="69"/>
      <c r="H86" s="64"/>
      <c r="I86" s="64"/>
      <c r="J86" s="64"/>
      <c r="K86" s="64"/>
      <c r="L86" s="64"/>
      <c r="M86" s="64"/>
      <c r="N86" s="64"/>
      <c r="O86" s="64"/>
      <c r="P86" s="64"/>
      <c r="Q86" s="64"/>
      <c r="R86" s="64"/>
      <c r="S86" s="64"/>
      <c r="T86" s="64"/>
      <c r="U86" s="64"/>
      <c r="V86" s="64"/>
      <c r="W86" s="64"/>
      <c r="X86" s="64"/>
      <c r="Y86" s="64"/>
      <c r="Z86" s="64"/>
    </row>
    <row r="87" outlineLevel="1">
      <c r="A87" s="72" t="s">
        <v>389</v>
      </c>
      <c r="B87" s="72" t="s">
        <v>1176</v>
      </c>
      <c r="C87" s="72" t="s">
        <v>1177</v>
      </c>
      <c r="D87" s="72" t="s">
        <v>1178</v>
      </c>
      <c r="E87" s="72" t="s">
        <v>1179</v>
      </c>
      <c r="F87" s="80"/>
      <c r="G87" s="74" t="s">
        <v>3</v>
      </c>
      <c r="H87" s="64"/>
      <c r="I87" s="64"/>
      <c r="J87" s="64"/>
      <c r="K87" s="64"/>
      <c r="L87" s="64"/>
      <c r="M87" s="64"/>
      <c r="N87" s="64"/>
      <c r="O87" s="64"/>
      <c r="P87" s="64"/>
      <c r="Q87" s="64"/>
      <c r="R87" s="64"/>
      <c r="S87" s="64"/>
      <c r="T87" s="64"/>
      <c r="U87" s="64"/>
      <c r="V87" s="64"/>
      <c r="W87" s="64"/>
      <c r="X87" s="64"/>
      <c r="Y87" s="64"/>
      <c r="Z87" s="64"/>
    </row>
    <row r="88" outlineLevel="1">
      <c r="A88" s="72" t="s">
        <v>394</v>
      </c>
      <c r="B88" s="72" t="s">
        <v>1180</v>
      </c>
      <c r="C88" s="72" t="s">
        <v>1181</v>
      </c>
      <c r="D88" s="72" t="s">
        <v>1182</v>
      </c>
      <c r="E88" s="72" t="s">
        <v>1709</v>
      </c>
      <c r="F88" s="80"/>
      <c r="G88" s="74" t="s">
        <v>3</v>
      </c>
      <c r="H88" s="64"/>
      <c r="I88" s="64"/>
      <c r="J88" s="64"/>
      <c r="K88" s="64"/>
      <c r="L88" s="64"/>
      <c r="M88" s="64"/>
      <c r="N88" s="64"/>
      <c r="O88" s="64"/>
      <c r="P88" s="64"/>
      <c r="Q88" s="64"/>
      <c r="R88" s="64"/>
      <c r="S88" s="64"/>
      <c r="T88" s="64"/>
      <c r="U88" s="64"/>
      <c r="V88" s="64"/>
      <c r="W88" s="64"/>
      <c r="X88" s="64"/>
      <c r="Y88" s="64"/>
      <c r="Z88" s="64"/>
    </row>
    <row r="89" outlineLevel="1">
      <c r="A89" s="72" t="s">
        <v>403</v>
      </c>
      <c r="B89" s="72" t="s">
        <v>1187</v>
      </c>
      <c r="C89" s="72" t="s">
        <v>1188</v>
      </c>
      <c r="D89" s="72" t="s">
        <v>1710</v>
      </c>
      <c r="E89" s="72" t="s">
        <v>1190</v>
      </c>
      <c r="F89" s="80"/>
      <c r="G89" s="74" t="s">
        <v>3</v>
      </c>
      <c r="H89" s="64"/>
      <c r="I89" s="64"/>
      <c r="J89" s="64"/>
      <c r="K89" s="64"/>
      <c r="L89" s="64"/>
      <c r="M89" s="64"/>
      <c r="N89" s="64"/>
      <c r="O89" s="64"/>
      <c r="P89" s="64"/>
      <c r="Q89" s="64"/>
      <c r="R89" s="64"/>
      <c r="S89" s="64"/>
      <c r="T89" s="64"/>
      <c r="U89" s="64"/>
      <c r="V89" s="64"/>
      <c r="W89" s="64"/>
      <c r="X89" s="64"/>
      <c r="Y89" s="64"/>
      <c r="Z89" s="64"/>
    </row>
    <row r="90" outlineLevel="1">
      <c r="A90" s="72" t="s">
        <v>408</v>
      </c>
      <c r="B90" s="72" t="s">
        <v>1191</v>
      </c>
      <c r="C90" s="72" t="s">
        <v>1192</v>
      </c>
      <c r="D90" s="72" t="s">
        <v>1193</v>
      </c>
      <c r="E90" s="72" t="s">
        <v>1194</v>
      </c>
      <c r="F90" s="80"/>
      <c r="G90" s="74" t="s">
        <v>3</v>
      </c>
      <c r="H90" s="64"/>
      <c r="I90" s="64"/>
      <c r="J90" s="64"/>
      <c r="K90" s="64"/>
      <c r="L90" s="64"/>
      <c r="M90" s="64"/>
      <c r="N90" s="64"/>
      <c r="O90" s="64"/>
      <c r="P90" s="64"/>
      <c r="Q90" s="64"/>
      <c r="R90" s="64"/>
      <c r="S90" s="64"/>
      <c r="T90" s="64"/>
      <c r="U90" s="64"/>
      <c r="V90" s="64"/>
      <c r="W90" s="64"/>
      <c r="X90" s="64"/>
      <c r="Y90" s="64"/>
      <c r="Z90" s="64"/>
    </row>
    <row r="91" outlineLevel="1">
      <c r="A91" s="72" t="s">
        <v>412</v>
      </c>
      <c r="B91" s="72" t="s">
        <v>1195</v>
      </c>
      <c r="C91" s="72" t="s">
        <v>1196</v>
      </c>
      <c r="D91" s="72" t="s">
        <v>1197</v>
      </c>
      <c r="E91" s="72" t="s">
        <v>1198</v>
      </c>
      <c r="F91" s="80"/>
      <c r="G91" s="74" t="s">
        <v>3</v>
      </c>
      <c r="H91" s="64"/>
      <c r="I91" s="64"/>
      <c r="J91" s="64"/>
      <c r="K91" s="64"/>
      <c r="L91" s="64"/>
      <c r="M91" s="64"/>
      <c r="N91" s="64"/>
      <c r="O91" s="64"/>
      <c r="P91" s="64"/>
      <c r="Q91" s="64"/>
      <c r="R91" s="64"/>
      <c r="S91" s="64"/>
      <c r="T91" s="64"/>
      <c r="U91" s="64"/>
      <c r="V91" s="64"/>
      <c r="W91" s="64"/>
      <c r="X91" s="64"/>
      <c r="Y91" s="64"/>
      <c r="Z91" s="64"/>
    </row>
    <row r="92" outlineLevel="1">
      <c r="A92" s="72" t="s">
        <v>417</v>
      </c>
      <c r="B92" s="72" t="s">
        <v>1199</v>
      </c>
      <c r="C92" s="72" t="s">
        <v>1181</v>
      </c>
      <c r="D92" s="72" t="s">
        <v>1200</v>
      </c>
      <c r="E92" s="72" t="s">
        <v>1201</v>
      </c>
      <c r="F92" s="80"/>
      <c r="G92" s="74" t="s">
        <v>3</v>
      </c>
      <c r="H92" s="64"/>
      <c r="I92" s="64"/>
      <c r="J92" s="64"/>
      <c r="K92" s="64"/>
      <c r="L92" s="64"/>
      <c r="M92" s="64"/>
      <c r="N92" s="64"/>
      <c r="O92" s="64"/>
      <c r="P92" s="64"/>
      <c r="Q92" s="64"/>
      <c r="R92" s="64"/>
      <c r="S92" s="64"/>
      <c r="T92" s="64"/>
      <c r="U92" s="64"/>
      <c r="V92" s="64"/>
      <c r="W92" s="64"/>
      <c r="X92" s="64"/>
      <c r="Y92" s="64"/>
      <c r="Z92" s="64"/>
    </row>
    <row r="93" outlineLevel="1">
      <c r="A93" s="72" t="s">
        <v>422</v>
      </c>
      <c r="B93" s="72" t="s">
        <v>1202</v>
      </c>
      <c r="C93" s="72" t="s">
        <v>1181</v>
      </c>
      <c r="D93" s="72" t="s">
        <v>1203</v>
      </c>
      <c r="E93" s="72" t="s">
        <v>1204</v>
      </c>
      <c r="F93" s="80"/>
      <c r="G93" s="74" t="s">
        <v>3</v>
      </c>
      <c r="H93" s="64"/>
      <c r="I93" s="64"/>
      <c r="J93" s="64"/>
      <c r="K93" s="64"/>
      <c r="L93" s="64"/>
      <c r="M93" s="64"/>
      <c r="N93" s="64"/>
      <c r="O93" s="64"/>
      <c r="P93" s="64"/>
      <c r="Q93" s="64"/>
      <c r="R93" s="64"/>
      <c r="S93" s="64"/>
      <c r="T93" s="64"/>
      <c r="U93" s="64"/>
      <c r="V93" s="64"/>
      <c r="W93" s="64"/>
      <c r="X93" s="64"/>
      <c r="Y93" s="64"/>
      <c r="Z93" s="64"/>
    </row>
    <row r="94" outlineLevel="1">
      <c r="A94" s="72" t="s">
        <v>427</v>
      </c>
      <c r="B94" s="72" t="s">
        <v>1205</v>
      </c>
      <c r="C94" s="72" t="s">
        <v>1206</v>
      </c>
      <c r="D94" s="72" t="s">
        <v>1207</v>
      </c>
      <c r="E94" s="72" t="s">
        <v>1208</v>
      </c>
      <c r="F94" s="80"/>
      <c r="G94" s="74" t="s">
        <v>3</v>
      </c>
      <c r="H94" s="64"/>
      <c r="I94" s="64"/>
      <c r="J94" s="64"/>
      <c r="K94" s="64"/>
      <c r="L94" s="64"/>
      <c r="M94" s="64"/>
      <c r="N94" s="64"/>
      <c r="O94" s="64"/>
      <c r="P94" s="64"/>
      <c r="Q94" s="64"/>
      <c r="R94" s="64"/>
      <c r="S94" s="64"/>
      <c r="T94" s="64"/>
      <c r="U94" s="64"/>
      <c r="V94" s="64"/>
      <c r="W94" s="64"/>
      <c r="X94" s="64"/>
      <c r="Y94" s="64"/>
      <c r="Z94" s="64"/>
    </row>
    <row r="95" outlineLevel="1">
      <c r="A95" s="72" t="s">
        <v>433</v>
      </c>
      <c r="B95" s="72" t="s">
        <v>1209</v>
      </c>
      <c r="C95" s="72" t="s">
        <v>1181</v>
      </c>
      <c r="D95" s="72" t="s">
        <v>1210</v>
      </c>
      <c r="E95" s="72" t="s">
        <v>1211</v>
      </c>
      <c r="F95" s="80"/>
      <c r="G95" s="74" t="s">
        <v>3</v>
      </c>
      <c r="H95" s="64"/>
      <c r="I95" s="64"/>
      <c r="J95" s="64"/>
      <c r="K95" s="64"/>
      <c r="L95" s="64"/>
      <c r="M95" s="64"/>
      <c r="N95" s="64"/>
      <c r="O95" s="64"/>
      <c r="P95" s="64"/>
      <c r="Q95" s="64"/>
      <c r="R95" s="64"/>
      <c r="S95" s="64"/>
      <c r="T95" s="64"/>
      <c r="U95" s="64"/>
      <c r="V95" s="64"/>
      <c r="W95" s="64"/>
      <c r="X95" s="64"/>
      <c r="Y95" s="64"/>
      <c r="Z95" s="64"/>
    </row>
    <row r="96" outlineLevel="1">
      <c r="A96" s="72" t="s">
        <v>438</v>
      </c>
      <c r="B96" s="72" t="s">
        <v>1212</v>
      </c>
      <c r="C96" s="72" t="s">
        <v>1213</v>
      </c>
      <c r="D96" s="72" t="s">
        <v>1214</v>
      </c>
      <c r="E96" s="72" t="s">
        <v>1215</v>
      </c>
      <c r="F96" s="80"/>
      <c r="G96" s="74" t="s">
        <v>3</v>
      </c>
      <c r="H96" s="64"/>
      <c r="I96" s="64"/>
      <c r="J96" s="64"/>
      <c r="K96" s="64"/>
      <c r="L96" s="64"/>
      <c r="M96" s="64"/>
      <c r="N96" s="64"/>
      <c r="O96" s="64"/>
      <c r="P96" s="64"/>
      <c r="Q96" s="64"/>
      <c r="R96" s="64"/>
      <c r="S96" s="64"/>
      <c r="T96" s="64"/>
      <c r="U96" s="64"/>
      <c r="V96" s="64"/>
      <c r="W96" s="64"/>
      <c r="X96" s="64"/>
      <c r="Y96" s="64"/>
      <c r="Z96" s="64"/>
    </row>
    <row r="97" outlineLevel="1">
      <c r="A97" s="72" t="s">
        <v>464</v>
      </c>
      <c r="B97" s="72" t="s">
        <v>1216</v>
      </c>
      <c r="C97" s="72" t="s">
        <v>1217</v>
      </c>
      <c r="D97" s="72" t="s">
        <v>1711</v>
      </c>
      <c r="E97" s="72" t="s">
        <v>1219</v>
      </c>
      <c r="F97" s="80"/>
      <c r="G97" s="74" t="s">
        <v>3</v>
      </c>
      <c r="H97" s="64"/>
      <c r="I97" s="64"/>
      <c r="J97" s="64"/>
      <c r="K97" s="64"/>
      <c r="L97" s="64"/>
      <c r="M97" s="64"/>
      <c r="N97" s="64"/>
      <c r="O97" s="64"/>
      <c r="P97" s="64"/>
      <c r="Q97" s="64"/>
      <c r="R97" s="64"/>
      <c r="S97" s="64"/>
      <c r="T97" s="64"/>
      <c r="U97" s="64"/>
      <c r="V97" s="64"/>
      <c r="W97" s="64"/>
      <c r="X97" s="64"/>
      <c r="Y97" s="64"/>
      <c r="Z97" s="64"/>
    </row>
    <row r="98" outlineLevel="1">
      <c r="A98" s="72" t="s">
        <v>468</v>
      </c>
      <c r="B98" s="72" t="s">
        <v>1220</v>
      </c>
      <c r="C98" s="72" t="s">
        <v>1221</v>
      </c>
      <c r="D98" s="72" t="s">
        <v>1222</v>
      </c>
      <c r="E98" s="72" t="s">
        <v>1223</v>
      </c>
      <c r="F98" s="80"/>
      <c r="G98" s="74" t="s">
        <v>3</v>
      </c>
      <c r="H98" s="64"/>
      <c r="I98" s="64"/>
      <c r="J98" s="64"/>
      <c r="K98" s="64"/>
      <c r="L98" s="64"/>
      <c r="M98" s="64"/>
      <c r="N98" s="64"/>
      <c r="O98" s="64"/>
      <c r="P98" s="64"/>
      <c r="Q98" s="64"/>
      <c r="R98" s="64"/>
      <c r="S98" s="64"/>
      <c r="T98" s="64"/>
      <c r="U98" s="64"/>
      <c r="V98" s="64"/>
      <c r="W98" s="64"/>
      <c r="X98" s="64"/>
      <c r="Y98" s="64"/>
      <c r="Z98" s="64"/>
    </row>
    <row r="99" outlineLevel="1">
      <c r="A99" s="72" t="s">
        <v>472</v>
      </c>
      <c r="B99" s="72" t="s">
        <v>1224</v>
      </c>
      <c r="C99" s="72" t="s">
        <v>1225</v>
      </c>
      <c r="D99" s="72" t="s">
        <v>1226</v>
      </c>
      <c r="E99" s="72" t="s">
        <v>1227</v>
      </c>
      <c r="F99" s="81"/>
      <c r="G99" s="74" t="s">
        <v>3</v>
      </c>
      <c r="H99" s="64"/>
      <c r="I99" s="64"/>
      <c r="J99" s="64"/>
      <c r="K99" s="64"/>
      <c r="L99" s="64"/>
      <c r="M99" s="64"/>
      <c r="N99" s="64"/>
      <c r="O99" s="64"/>
      <c r="P99" s="64"/>
      <c r="Q99" s="64"/>
      <c r="R99" s="64"/>
      <c r="S99" s="64"/>
      <c r="T99" s="64"/>
      <c r="U99" s="64"/>
      <c r="V99" s="64"/>
      <c r="W99" s="64"/>
      <c r="X99" s="64"/>
      <c r="Y99" s="64"/>
      <c r="Z99" s="64"/>
    </row>
    <row r="100" outlineLevel="1">
      <c r="A100" s="72" t="s">
        <v>476</v>
      </c>
      <c r="B100" s="72" t="s">
        <v>1228</v>
      </c>
      <c r="C100" s="72" t="s">
        <v>1225</v>
      </c>
      <c r="D100" s="72" t="s">
        <v>1226</v>
      </c>
      <c r="E100" s="72" t="s">
        <v>1229</v>
      </c>
      <c r="F100" s="81"/>
      <c r="G100" s="77" t="s">
        <v>3</v>
      </c>
      <c r="H100" s="64"/>
      <c r="I100" s="64"/>
      <c r="J100" s="64"/>
      <c r="K100" s="64"/>
      <c r="L100" s="64"/>
      <c r="M100" s="64"/>
      <c r="N100" s="64"/>
      <c r="O100" s="64"/>
      <c r="P100" s="64"/>
      <c r="Q100" s="64"/>
      <c r="R100" s="64"/>
      <c r="S100" s="64"/>
      <c r="T100" s="64"/>
      <c r="U100" s="64"/>
      <c r="V100" s="64"/>
      <c r="W100" s="64"/>
      <c r="X100" s="64"/>
      <c r="Y100" s="64"/>
      <c r="Z100" s="64"/>
    </row>
    <row r="101" outlineLevel="1">
      <c r="A101" s="72" t="s">
        <v>493</v>
      </c>
      <c r="B101" s="72" t="s">
        <v>1230</v>
      </c>
      <c r="C101" s="72" t="s">
        <v>1231</v>
      </c>
      <c r="D101" s="72" t="s">
        <v>1232</v>
      </c>
      <c r="E101" s="72" t="s">
        <v>1233</v>
      </c>
      <c r="F101" s="80"/>
      <c r="G101" s="74" t="s">
        <v>3</v>
      </c>
      <c r="H101" s="64"/>
      <c r="I101" s="64"/>
      <c r="J101" s="64"/>
      <c r="K101" s="64"/>
      <c r="L101" s="64"/>
      <c r="M101" s="64"/>
      <c r="N101" s="64"/>
      <c r="O101" s="64"/>
      <c r="P101" s="64"/>
      <c r="Q101" s="64"/>
      <c r="R101" s="64"/>
      <c r="S101" s="64"/>
      <c r="T101" s="64"/>
      <c r="U101" s="64"/>
      <c r="V101" s="64"/>
      <c r="W101" s="64"/>
      <c r="X101" s="64"/>
      <c r="Y101" s="64"/>
      <c r="Z101" s="64"/>
    </row>
    <row r="102">
      <c r="A102" s="104"/>
      <c r="B102" s="105" t="s">
        <v>1234</v>
      </c>
      <c r="C102" s="104"/>
      <c r="D102" s="104"/>
      <c r="E102" s="104"/>
      <c r="F102" s="69"/>
      <c r="G102" s="69"/>
      <c r="H102" s="64"/>
      <c r="I102" s="64"/>
      <c r="J102" s="64"/>
      <c r="K102" s="64"/>
      <c r="L102" s="64"/>
      <c r="M102" s="64"/>
      <c r="N102" s="64"/>
      <c r="O102" s="64"/>
      <c r="P102" s="64"/>
      <c r="Q102" s="64"/>
      <c r="R102" s="64"/>
      <c r="S102" s="64"/>
      <c r="T102" s="64"/>
      <c r="U102" s="64"/>
      <c r="V102" s="64"/>
      <c r="W102" s="64"/>
      <c r="X102" s="64"/>
      <c r="Y102" s="64"/>
      <c r="Z102" s="64"/>
    </row>
    <row r="103" outlineLevel="1">
      <c r="A103" s="72" t="s">
        <v>498</v>
      </c>
      <c r="B103" s="72" t="s">
        <v>1235</v>
      </c>
      <c r="C103" s="72" t="s">
        <v>1236</v>
      </c>
      <c r="D103" s="72" t="s">
        <v>1237</v>
      </c>
      <c r="E103" s="72" t="s">
        <v>1238</v>
      </c>
      <c r="F103" s="80"/>
      <c r="G103" s="74" t="s">
        <v>3</v>
      </c>
      <c r="H103" s="64"/>
      <c r="I103" s="64"/>
      <c r="J103" s="64"/>
      <c r="K103" s="64"/>
      <c r="L103" s="64"/>
      <c r="M103" s="64"/>
      <c r="N103" s="64"/>
      <c r="O103" s="64"/>
      <c r="P103" s="64"/>
      <c r="Q103" s="64"/>
      <c r="R103" s="64"/>
      <c r="S103" s="64"/>
      <c r="T103" s="64"/>
      <c r="U103" s="64"/>
      <c r="V103" s="64"/>
      <c r="W103" s="64"/>
      <c r="X103" s="64"/>
      <c r="Y103" s="64"/>
      <c r="Z103" s="64"/>
    </row>
    <row r="104" outlineLevel="1">
      <c r="A104" s="72" t="s">
        <v>503</v>
      </c>
      <c r="B104" s="72" t="s">
        <v>1239</v>
      </c>
      <c r="C104" s="72" t="s">
        <v>1240</v>
      </c>
      <c r="D104" s="72" t="s">
        <v>1241</v>
      </c>
      <c r="E104" s="72" t="s">
        <v>1242</v>
      </c>
      <c r="F104" s="80"/>
      <c r="G104" s="74" t="s">
        <v>3</v>
      </c>
      <c r="H104" s="64"/>
      <c r="I104" s="64"/>
      <c r="J104" s="64"/>
      <c r="K104" s="64"/>
      <c r="L104" s="64"/>
      <c r="M104" s="64"/>
      <c r="N104" s="64"/>
      <c r="O104" s="64"/>
      <c r="P104" s="64"/>
      <c r="Q104" s="64"/>
      <c r="R104" s="64"/>
      <c r="S104" s="64"/>
      <c r="T104" s="64"/>
      <c r="U104" s="64"/>
      <c r="V104" s="64"/>
      <c r="W104" s="64"/>
      <c r="X104" s="64"/>
      <c r="Y104" s="64"/>
      <c r="Z104" s="64"/>
    </row>
    <row r="105" outlineLevel="1">
      <c r="A105" s="72" t="s">
        <v>507</v>
      </c>
      <c r="B105" s="72" t="s">
        <v>1243</v>
      </c>
      <c r="C105" s="72" t="s">
        <v>1244</v>
      </c>
      <c r="D105" s="72" t="s">
        <v>1245</v>
      </c>
      <c r="E105" s="72" t="s">
        <v>1246</v>
      </c>
      <c r="F105" s="80"/>
      <c r="G105" s="74" t="s">
        <v>3</v>
      </c>
      <c r="H105" s="64"/>
      <c r="I105" s="64"/>
      <c r="J105" s="64"/>
      <c r="K105" s="64"/>
      <c r="L105" s="64"/>
      <c r="M105" s="64"/>
      <c r="N105" s="64"/>
      <c r="O105" s="64"/>
      <c r="P105" s="64"/>
      <c r="Q105" s="64"/>
      <c r="R105" s="64"/>
      <c r="S105" s="64"/>
      <c r="T105" s="64"/>
      <c r="U105" s="64"/>
      <c r="V105" s="64"/>
      <c r="W105" s="64"/>
      <c r="X105" s="64"/>
      <c r="Y105" s="64"/>
      <c r="Z105" s="64"/>
    </row>
    <row r="106" outlineLevel="1">
      <c r="A106" s="72" t="s">
        <v>510</v>
      </c>
      <c r="B106" s="72" t="s">
        <v>1247</v>
      </c>
      <c r="C106" s="72" t="s">
        <v>1248</v>
      </c>
      <c r="D106" s="72" t="s">
        <v>1249</v>
      </c>
      <c r="E106" s="72" t="s">
        <v>1250</v>
      </c>
      <c r="F106" s="80"/>
      <c r="G106" s="74" t="s">
        <v>3</v>
      </c>
      <c r="H106" s="64"/>
      <c r="I106" s="64"/>
      <c r="J106" s="64"/>
      <c r="K106" s="64"/>
      <c r="L106" s="64"/>
      <c r="M106" s="64"/>
      <c r="N106" s="64"/>
      <c r="O106" s="64"/>
      <c r="P106" s="64"/>
      <c r="Q106" s="64"/>
      <c r="R106" s="64"/>
      <c r="S106" s="64"/>
      <c r="T106" s="64"/>
      <c r="U106" s="64"/>
      <c r="V106" s="64"/>
      <c r="W106" s="64"/>
      <c r="X106" s="64"/>
      <c r="Y106" s="64"/>
      <c r="Z106" s="64"/>
    </row>
    <row r="107" outlineLevel="1">
      <c r="A107" s="72" t="s">
        <v>515</v>
      </c>
      <c r="B107" s="72" t="s">
        <v>1251</v>
      </c>
      <c r="C107" s="72" t="s">
        <v>1252</v>
      </c>
      <c r="D107" s="72" t="s">
        <v>1249</v>
      </c>
      <c r="E107" s="72" t="s">
        <v>1253</v>
      </c>
      <c r="F107" s="80"/>
      <c r="G107" s="74" t="s">
        <v>3</v>
      </c>
      <c r="H107" s="64"/>
      <c r="I107" s="64"/>
      <c r="J107" s="64"/>
      <c r="K107" s="64"/>
      <c r="L107" s="64"/>
      <c r="M107" s="64"/>
      <c r="N107" s="64"/>
      <c r="O107" s="64"/>
      <c r="P107" s="64"/>
      <c r="Q107" s="64"/>
      <c r="R107" s="64"/>
      <c r="S107" s="64"/>
      <c r="T107" s="64"/>
      <c r="U107" s="64"/>
      <c r="V107" s="64"/>
      <c r="W107" s="64"/>
      <c r="X107" s="64"/>
      <c r="Y107" s="64"/>
      <c r="Z107" s="64"/>
    </row>
    <row r="108" outlineLevel="1">
      <c r="A108" s="72" t="s">
        <v>519</v>
      </c>
      <c r="B108" s="72" t="s">
        <v>1254</v>
      </c>
      <c r="C108" s="72" t="s">
        <v>1244</v>
      </c>
      <c r="D108" s="72" t="s">
        <v>1255</v>
      </c>
      <c r="E108" s="72" t="s">
        <v>1256</v>
      </c>
      <c r="F108" s="80"/>
      <c r="G108" s="74" t="s">
        <v>3</v>
      </c>
      <c r="H108" s="64"/>
      <c r="I108" s="64"/>
      <c r="J108" s="64"/>
      <c r="K108" s="64"/>
      <c r="L108" s="64"/>
      <c r="M108" s="64"/>
      <c r="N108" s="64"/>
      <c r="O108" s="64"/>
      <c r="P108" s="64"/>
      <c r="Q108" s="64"/>
      <c r="R108" s="64"/>
      <c r="S108" s="64"/>
      <c r="T108" s="64"/>
      <c r="U108" s="64"/>
      <c r="V108" s="64"/>
      <c r="W108" s="64"/>
      <c r="X108" s="64"/>
      <c r="Y108" s="64"/>
      <c r="Z108" s="64"/>
    </row>
    <row r="109" outlineLevel="1">
      <c r="A109" s="72" t="s">
        <v>522</v>
      </c>
      <c r="B109" s="72" t="s">
        <v>1257</v>
      </c>
      <c r="C109" s="72" t="s">
        <v>1258</v>
      </c>
      <c r="D109" s="72" t="s">
        <v>1259</v>
      </c>
      <c r="E109" s="72" t="s">
        <v>1260</v>
      </c>
      <c r="F109" s="80"/>
      <c r="G109" s="74" t="s">
        <v>3</v>
      </c>
      <c r="H109" s="64"/>
      <c r="I109" s="64"/>
      <c r="J109" s="64"/>
      <c r="K109" s="64"/>
      <c r="L109" s="64"/>
      <c r="M109" s="64"/>
      <c r="N109" s="64"/>
      <c r="O109" s="64"/>
      <c r="P109" s="64"/>
      <c r="Q109" s="64"/>
      <c r="R109" s="64"/>
      <c r="S109" s="64"/>
      <c r="T109" s="64"/>
      <c r="U109" s="64"/>
      <c r="V109" s="64"/>
      <c r="W109" s="64"/>
      <c r="X109" s="64"/>
      <c r="Y109" s="64"/>
      <c r="Z109" s="64"/>
    </row>
    <row r="110" outlineLevel="1">
      <c r="A110" s="72" t="s">
        <v>525</v>
      </c>
      <c r="B110" s="72" t="s">
        <v>1261</v>
      </c>
      <c r="C110" s="72" t="s">
        <v>1262</v>
      </c>
      <c r="D110" s="72" t="s">
        <v>1263</v>
      </c>
      <c r="E110" s="72" t="s">
        <v>1264</v>
      </c>
      <c r="F110" s="80"/>
      <c r="G110" s="74" t="s">
        <v>3</v>
      </c>
      <c r="H110" s="64"/>
      <c r="I110" s="64"/>
      <c r="J110" s="64"/>
      <c r="K110" s="64"/>
      <c r="L110" s="64"/>
      <c r="M110" s="64"/>
      <c r="N110" s="64"/>
      <c r="O110" s="64"/>
      <c r="P110" s="64"/>
      <c r="Q110" s="64"/>
      <c r="R110" s="64"/>
      <c r="S110" s="64"/>
      <c r="T110" s="64"/>
      <c r="U110" s="64"/>
      <c r="V110" s="64"/>
      <c r="W110" s="64"/>
      <c r="X110" s="64"/>
      <c r="Y110" s="64"/>
      <c r="Z110" s="64"/>
    </row>
    <row r="111" outlineLevel="1">
      <c r="A111" s="72" t="s">
        <v>527</v>
      </c>
      <c r="B111" s="72" t="s">
        <v>1265</v>
      </c>
      <c r="C111" s="72" t="s">
        <v>1266</v>
      </c>
      <c r="D111" s="72" t="s">
        <v>1267</v>
      </c>
      <c r="E111" s="72" t="s">
        <v>1268</v>
      </c>
      <c r="F111" s="80"/>
      <c r="G111" s="74" t="s">
        <v>3</v>
      </c>
      <c r="H111" s="64"/>
      <c r="I111" s="64"/>
      <c r="J111" s="64"/>
      <c r="K111" s="64"/>
      <c r="L111" s="64"/>
      <c r="M111" s="64"/>
      <c r="N111" s="64"/>
      <c r="O111" s="64"/>
      <c r="P111" s="64"/>
      <c r="Q111" s="64"/>
      <c r="R111" s="64"/>
      <c r="S111" s="64"/>
      <c r="T111" s="64"/>
      <c r="U111" s="64"/>
      <c r="V111" s="64"/>
      <c r="W111" s="64"/>
      <c r="X111" s="64"/>
      <c r="Y111" s="64"/>
      <c r="Z111" s="64"/>
    </row>
    <row r="112" outlineLevel="1">
      <c r="A112" s="72" t="s">
        <v>529</v>
      </c>
      <c r="B112" s="72" t="s">
        <v>1269</v>
      </c>
      <c r="C112" s="72" t="s">
        <v>1270</v>
      </c>
      <c r="D112" s="72" t="s">
        <v>1271</v>
      </c>
      <c r="E112" s="72" t="s">
        <v>1272</v>
      </c>
      <c r="F112" s="81"/>
      <c r="G112" s="77" t="s">
        <v>3</v>
      </c>
      <c r="H112" s="64"/>
      <c r="I112" s="64"/>
      <c r="J112" s="64"/>
      <c r="K112" s="64"/>
      <c r="L112" s="64"/>
      <c r="M112" s="64"/>
      <c r="N112" s="64"/>
      <c r="O112" s="64"/>
      <c r="P112" s="64"/>
      <c r="Q112" s="64"/>
      <c r="R112" s="64"/>
      <c r="S112" s="64"/>
      <c r="T112" s="64"/>
      <c r="U112" s="64"/>
      <c r="V112" s="64"/>
      <c r="W112" s="64"/>
      <c r="X112" s="64"/>
      <c r="Y112" s="64"/>
      <c r="Z112" s="64"/>
    </row>
    <row r="113">
      <c r="A113" s="104"/>
      <c r="B113" s="105" t="s">
        <v>1273</v>
      </c>
      <c r="C113" s="104"/>
      <c r="D113" s="104"/>
      <c r="E113" s="104"/>
      <c r="F113" s="69"/>
      <c r="G113" s="69"/>
      <c r="H113" s="64"/>
      <c r="I113" s="64"/>
      <c r="J113" s="64"/>
      <c r="K113" s="64"/>
      <c r="L113" s="64"/>
      <c r="M113" s="64"/>
      <c r="N113" s="64"/>
      <c r="O113" s="64"/>
      <c r="P113" s="64"/>
      <c r="Q113" s="64"/>
      <c r="R113" s="64"/>
      <c r="S113" s="64"/>
      <c r="T113" s="64"/>
      <c r="U113" s="64"/>
      <c r="V113" s="64"/>
      <c r="W113" s="64"/>
      <c r="X113" s="64"/>
      <c r="Y113" s="64"/>
      <c r="Z113" s="64"/>
    </row>
    <row r="114">
      <c r="A114" s="64"/>
      <c r="B114" s="72" t="s">
        <v>1274</v>
      </c>
      <c r="C114" s="64"/>
      <c r="D114" s="64"/>
      <c r="E114" s="106" t="s">
        <v>1712</v>
      </c>
      <c r="F114" s="80"/>
      <c r="G114" s="74" t="s">
        <v>3</v>
      </c>
      <c r="H114" s="64"/>
      <c r="I114" s="64"/>
      <c r="J114" s="64"/>
      <c r="K114" s="64"/>
      <c r="L114" s="64"/>
      <c r="M114" s="64"/>
      <c r="N114" s="64"/>
      <c r="O114" s="64"/>
      <c r="P114" s="64"/>
      <c r="Q114" s="64"/>
      <c r="R114" s="64"/>
      <c r="S114" s="64"/>
      <c r="T114" s="64"/>
      <c r="U114" s="64"/>
      <c r="V114" s="64"/>
      <c r="W114" s="64"/>
      <c r="X114" s="64"/>
      <c r="Y114" s="64"/>
      <c r="Z114" s="64"/>
    </row>
    <row r="115">
      <c r="A115" s="104"/>
      <c r="B115" s="105" t="s">
        <v>1276</v>
      </c>
      <c r="C115" s="104"/>
      <c r="D115" s="104"/>
      <c r="E115" s="104"/>
      <c r="F115" s="69"/>
      <c r="G115" s="69"/>
      <c r="H115" s="64"/>
      <c r="I115" s="64"/>
      <c r="J115" s="64"/>
      <c r="K115" s="64"/>
      <c r="L115" s="64"/>
      <c r="M115" s="64"/>
      <c r="N115" s="64"/>
      <c r="O115" s="64"/>
      <c r="P115" s="64"/>
      <c r="Q115" s="64"/>
      <c r="R115" s="64"/>
      <c r="S115" s="64"/>
      <c r="T115" s="64"/>
      <c r="U115" s="64"/>
      <c r="V115" s="64"/>
      <c r="W115" s="64"/>
      <c r="X115" s="64"/>
      <c r="Y115" s="64"/>
      <c r="Z115" s="64"/>
    </row>
    <row r="116">
      <c r="A116" s="72" t="s">
        <v>531</v>
      </c>
      <c r="B116" s="72" t="s">
        <v>1277</v>
      </c>
      <c r="C116" s="72" t="s">
        <v>1278</v>
      </c>
      <c r="D116" s="72" t="s">
        <v>1279</v>
      </c>
      <c r="E116" s="72" t="s">
        <v>1280</v>
      </c>
      <c r="F116" s="80"/>
      <c r="G116" s="74" t="s">
        <v>3</v>
      </c>
      <c r="H116" s="64"/>
      <c r="I116" s="64"/>
      <c r="J116" s="64"/>
      <c r="K116" s="64"/>
      <c r="L116" s="64"/>
      <c r="M116" s="64"/>
      <c r="N116" s="64"/>
      <c r="O116" s="64"/>
      <c r="P116" s="64"/>
      <c r="Q116" s="64"/>
      <c r="R116" s="64"/>
      <c r="S116" s="64"/>
      <c r="T116" s="64"/>
      <c r="U116" s="64"/>
      <c r="V116" s="64"/>
      <c r="W116" s="64"/>
      <c r="X116" s="64"/>
      <c r="Y116" s="64"/>
      <c r="Z116" s="64"/>
    </row>
    <row r="117">
      <c r="A117" s="72" t="s">
        <v>533</v>
      </c>
      <c r="B117" s="72" t="s">
        <v>1281</v>
      </c>
      <c r="C117" s="72" t="s">
        <v>1282</v>
      </c>
      <c r="D117" s="72" t="s">
        <v>1283</v>
      </c>
      <c r="E117" s="72" t="s">
        <v>1284</v>
      </c>
      <c r="F117" s="80"/>
      <c r="G117" s="74" t="s">
        <v>3</v>
      </c>
      <c r="H117" s="64"/>
      <c r="I117" s="64"/>
      <c r="J117" s="64"/>
      <c r="K117" s="64"/>
      <c r="L117" s="64"/>
      <c r="M117" s="64"/>
      <c r="N117" s="64"/>
      <c r="O117" s="64"/>
      <c r="P117" s="64"/>
      <c r="Q117" s="64"/>
      <c r="R117" s="64"/>
      <c r="S117" s="64"/>
      <c r="T117" s="64"/>
      <c r="U117" s="64"/>
      <c r="V117" s="64"/>
      <c r="W117" s="64"/>
      <c r="X117" s="64"/>
      <c r="Y117" s="64"/>
      <c r="Z117" s="64"/>
    </row>
    <row r="118">
      <c r="A118" s="72" t="s">
        <v>534</v>
      </c>
      <c r="B118" s="72" t="s">
        <v>1285</v>
      </c>
      <c r="C118" s="72" t="s">
        <v>1282</v>
      </c>
      <c r="D118" s="72" t="s">
        <v>1286</v>
      </c>
      <c r="E118" s="72" t="s">
        <v>1287</v>
      </c>
      <c r="F118" s="80"/>
      <c r="G118" s="74" t="s">
        <v>3</v>
      </c>
      <c r="H118" s="64"/>
      <c r="I118" s="64"/>
      <c r="J118" s="64"/>
      <c r="K118" s="64"/>
      <c r="L118" s="64"/>
      <c r="M118" s="64"/>
      <c r="N118" s="64"/>
      <c r="O118" s="64"/>
      <c r="P118" s="64"/>
      <c r="Q118" s="64"/>
      <c r="R118" s="64"/>
      <c r="S118" s="64"/>
      <c r="T118" s="64"/>
      <c r="U118" s="64"/>
      <c r="V118" s="64"/>
      <c r="W118" s="64"/>
      <c r="X118" s="64"/>
      <c r="Y118" s="64"/>
      <c r="Z118" s="64"/>
    </row>
    <row r="119">
      <c r="A119" s="72" t="s">
        <v>539</v>
      </c>
      <c r="B119" s="72" t="s">
        <v>1288</v>
      </c>
      <c r="C119" s="72" t="s">
        <v>1282</v>
      </c>
      <c r="D119" s="72" t="s">
        <v>1289</v>
      </c>
      <c r="E119" s="72" t="s">
        <v>1290</v>
      </c>
      <c r="F119" s="80"/>
      <c r="G119" s="74" t="s">
        <v>3</v>
      </c>
      <c r="H119" s="64"/>
      <c r="I119" s="64"/>
      <c r="J119" s="64"/>
      <c r="K119" s="64"/>
      <c r="L119" s="64"/>
      <c r="M119" s="64"/>
      <c r="N119" s="64"/>
      <c r="O119" s="64"/>
      <c r="P119" s="64"/>
      <c r="Q119" s="64"/>
      <c r="R119" s="64"/>
      <c r="S119" s="64"/>
      <c r="T119" s="64"/>
      <c r="U119" s="64"/>
      <c r="V119" s="64"/>
      <c r="W119" s="64"/>
      <c r="X119" s="64"/>
      <c r="Y119" s="64"/>
      <c r="Z119" s="64"/>
    </row>
    <row r="120">
      <c r="A120" s="72" t="s">
        <v>542</v>
      </c>
      <c r="B120" s="72" t="s">
        <v>1291</v>
      </c>
      <c r="C120" s="72" t="s">
        <v>1282</v>
      </c>
      <c r="D120" s="72" t="s">
        <v>1292</v>
      </c>
      <c r="E120" s="72" t="s">
        <v>1293</v>
      </c>
      <c r="F120" s="80"/>
      <c r="G120" s="74" t="s">
        <v>3</v>
      </c>
      <c r="H120" s="64"/>
      <c r="I120" s="64"/>
      <c r="J120" s="64"/>
      <c r="K120" s="64"/>
      <c r="L120" s="64"/>
      <c r="M120" s="64"/>
      <c r="N120" s="64"/>
      <c r="O120" s="64"/>
      <c r="P120" s="64"/>
      <c r="Q120" s="64"/>
      <c r="R120" s="64"/>
      <c r="S120" s="64"/>
      <c r="T120" s="64"/>
      <c r="U120" s="64"/>
      <c r="V120" s="64"/>
      <c r="W120" s="64"/>
      <c r="X120" s="64"/>
      <c r="Y120" s="64"/>
      <c r="Z120" s="64"/>
    </row>
    <row r="121">
      <c r="A121" s="72" t="s">
        <v>545</v>
      </c>
      <c r="B121" s="72" t="s">
        <v>1294</v>
      </c>
      <c r="C121" s="72" t="s">
        <v>1282</v>
      </c>
      <c r="D121" s="72" t="s">
        <v>1295</v>
      </c>
      <c r="E121" s="72" t="s">
        <v>1296</v>
      </c>
      <c r="F121" s="81" t="s">
        <v>1297</v>
      </c>
      <c r="G121" s="74" t="s">
        <v>3</v>
      </c>
      <c r="H121" s="64"/>
      <c r="I121" s="64"/>
      <c r="J121" s="64"/>
      <c r="K121" s="64"/>
      <c r="L121" s="64"/>
      <c r="M121" s="64"/>
      <c r="N121" s="64"/>
      <c r="O121" s="64"/>
      <c r="P121" s="64"/>
      <c r="Q121" s="64"/>
      <c r="R121" s="64"/>
      <c r="S121" s="64"/>
      <c r="T121" s="64"/>
      <c r="U121" s="64"/>
      <c r="V121" s="64"/>
      <c r="W121" s="64"/>
      <c r="X121" s="64"/>
      <c r="Y121" s="64"/>
      <c r="Z121" s="64"/>
    </row>
    <row r="122">
      <c r="A122" s="72" t="s">
        <v>549</v>
      </c>
      <c r="B122" s="72" t="s">
        <v>1298</v>
      </c>
      <c r="C122" s="72" t="s">
        <v>1282</v>
      </c>
      <c r="D122" s="72" t="s">
        <v>1299</v>
      </c>
      <c r="E122" s="72" t="s">
        <v>1300</v>
      </c>
      <c r="F122" s="80"/>
      <c r="G122" s="74" t="s">
        <v>3</v>
      </c>
      <c r="H122" s="64"/>
      <c r="I122" s="64"/>
      <c r="J122" s="64"/>
      <c r="K122" s="64"/>
      <c r="L122" s="64"/>
      <c r="M122" s="64"/>
      <c r="N122" s="64"/>
      <c r="O122" s="64"/>
      <c r="P122" s="64"/>
      <c r="Q122" s="64"/>
      <c r="R122" s="64"/>
      <c r="S122" s="64"/>
      <c r="T122" s="64"/>
      <c r="U122" s="64"/>
      <c r="V122" s="64"/>
      <c r="W122" s="64"/>
      <c r="X122" s="64"/>
      <c r="Y122" s="64"/>
      <c r="Z122" s="64"/>
    </row>
    <row r="123">
      <c r="A123" s="72" t="s">
        <v>553</v>
      </c>
      <c r="B123" s="72" t="s">
        <v>1301</v>
      </c>
      <c r="C123" s="72" t="s">
        <v>1282</v>
      </c>
      <c r="D123" s="72" t="s">
        <v>1302</v>
      </c>
      <c r="E123" s="72" t="s">
        <v>1303</v>
      </c>
      <c r="F123" s="80"/>
      <c r="G123" s="74" t="s">
        <v>3</v>
      </c>
      <c r="H123" s="64"/>
      <c r="I123" s="64"/>
      <c r="J123" s="64"/>
      <c r="K123" s="64"/>
      <c r="L123" s="64"/>
      <c r="M123" s="64"/>
      <c r="N123" s="64"/>
      <c r="O123" s="64"/>
      <c r="P123" s="64"/>
      <c r="Q123" s="64"/>
      <c r="R123" s="64"/>
      <c r="S123" s="64"/>
      <c r="T123" s="64"/>
      <c r="U123" s="64"/>
      <c r="V123" s="64"/>
      <c r="W123" s="64"/>
      <c r="X123" s="64"/>
      <c r="Y123" s="64"/>
      <c r="Z123" s="64"/>
    </row>
    <row r="124">
      <c r="A124" s="72" t="s">
        <v>557</v>
      </c>
      <c r="B124" s="72" t="s">
        <v>1304</v>
      </c>
      <c r="C124" s="72" t="s">
        <v>1282</v>
      </c>
      <c r="D124" s="72" t="s">
        <v>1305</v>
      </c>
      <c r="E124" s="72" t="s">
        <v>1303</v>
      </c>
      <c r="F124" s="80"/>
      <c r="G124" s="74" t="s">
        <v>3</v>
      </c>
      <c r="H124" s="64"/>
      <c r="I124" s="64"/>
      <c r="J124" s="64"/>
      <c r="K124" s="64"/>
      <c r="L124" s="64"/>
      <c r="M124" s="64"/>
      <c r="N124" s="64"/>
      <c r="O124" s="64"/>
      <c r="P124" s="64"/>
      <c r="Q124" s="64"/>
      <c r="R124" s="64"/>
      <c r="S124" s="64"/>
      <c r="T124" s="64"/>
      <c r="U124" s="64"/>
      <c r="V124" s="64"/>
      <c r="W124" s="64"/>
      <c r="X124" s="64"/>
      <c r="Y124" s="64"/>
      <c r="Z124" s="64"/>
    </row>
    <row r="125">
      <c r="A125" s="72" t="s">
        <v>561</v>
      </c>
      <c r="B125" s="72" t="s">
        <v>1306</v>
      </c>
      <c r="C125" s="72" t="s">
        <v>1282</v>
      </c>
      <c r="D125" s="72" t="s">
        <v>1307</v>
      </c>
      <c r="E125" s="72" t="s">
        <v>1293</v>
      </c>
      <c r="F125" s="80"/>
      <c r="G125" s="74" t="s">
        <v>3</v>
      </c>
      <c r="H125" s="64"/>
      <c r="I125" s="64"/>
      <c r="J125" s="64"/>
      <c r="K125" s="64"/>
      <c r="L125" s="64"/>
      <c r="M125" s="64"/>
      <c r="N125" s="64"/>
      <c r="O125" s="64"/>
      <c r="P125" s="64"/>
      <c r="Q125" s="64"/>
      <c r="R125" s="64"/>
      <c r="S125" s="64"/>
      <c r="T125" s="64"/>
      <c r="U125" s="64"/>
      <c r="V125" s="64"/>
      <c r="W125" s="64"/>
      <c r="X125" s="64"/>
      <c r="Y125" s="64"/>
      <c r="Z125" s="64"/>
    </row>
    <row r="126">
      <c r="A126" s="72" t="s">
        <v>565</v>
      </c>
      <c r="B126" s="72" t="s">
        <v>1308</v>
      </c>
      <c r="C126" s="72" t="s">
        <v>1282</v>
      </c>
      <c r="D126" s="72" t="s">
        <v>1309</v>
      </c>
      <c r="E126" s="72" t="s">
        <v>1310</v>
      </c>
      <c r="F126" s="81" t="s">
        <v>1311</v>
      </c>
      <c r="G126" s="74" t="s">
        <v>3</v>
      </c>
      <c r="H126" s="64"/>
      <c r="I126" s="64"/>
      <c r="J126" s="64"/>
      <c r="K126" s="64"/>
      <c r="L126" s="64"/>
      <c r="M126" s="64"/>
      <c r="N126" s="64"/>
      <c r="O126" s="64"/>
      <c r="P126" s="64"/>
      <c r="Q126" s="64"/>
      <c r="R126" s="64"/>
      <c r="S126" s="64"/>
      <c r="T126" s="64"/>
      <c r="U126" s="64"/>
      <c r="V126" s="64"/>
      <c r="W126" s="64"/>
      <c r="X126" s="64"/>
      <c r="Y126" s="64"/>
      <c r="Z126" s="64"/>
    </row>
    <row r="127">
      <c r="A127" s="72" t="s">
        <v>569</v>
      </c>
      <c r="B127" s="72" t="s">
        <v>1312</v>
      </c>
      <c r="C127" s="72" t="s">
        <v>1282</v>
      </c>
      <c r="D127" s="72" t="s">
        <v>1313</v>
      </c>
      <c r="E127" s="72" t="s">
        <v>1314</v>
      </c>
      <c r="F127" s="80"/>
      <c r="G127" s="74" t="s">
        <v>3</v>
      </c>
      <c r="H127" s="64"/>
      <c r="I127" s="64"/>
      <c r="J127" s="64"/>
      <c r="K127" s="64"/>
      <c r="L127" s="64"/>
      <c r="M127" s="64"/>
      <c r="N127" s="64"/>
      <c r="O127" s="64"/>
      <c r="P127" s="64"/>
      <c r="Q127" s="64"/>
      <c r="R127" s="64"/>
      <c r="S127" s="64"/>
      <c r="T127" s="64"/>
      <c r="U127" s="64"/>
      <c r="V127" s="64"/>
      <c r="W127" s="64"/>
      <c r="X127" s="64"/>
      <c r="Y127" s="64"/>
      <c r="Z127" s="64"/>
    </row>
    <row r="128">
      <c r="A128" s="72" t="s">
        <v>573</v>
      </c>
      <c r="B128" s="72" t="s">
        <v>1315</v>
      </c>
      <c r="C128" s="72" t="s">
        <v>1282</v>
      </c>
      <c r="D128" s="72" t="s">
        <v>1316</v>
      </c>
      <c r="E128" s="72" t="s">
        <v>1303</v>
      </c>
      <c r="F128" s="80"/>
      <c r="G128" s="74" t="s">
        <v>3</v>
      </c>
      <c r="H128" s="64"/>
      <c r="I128" s="64"/>
      <c r="J128" s="64"/>
      <c r="K128" s="64"/>
      <c r="L128" s="64"/>
      <c r="M128" s="64"/>
      <c r="N128" s="64"/>
      <c r="O128" s="64"/>
      <c r="P128" s="64"/>
      <c r="Q128" s="64"/>
      <c r="R128" s="64"/>
      <c r="S128" s="64"/>
      <c r="T128" s="64"/>
      <c r="U128" s="64"/>
      <c r="V128" s="64"/>
      <c r="W128" s="64"/>
      <c r="X128" s="64"/>
      <c r="Y128" s="64"/>
      <c r="Z128" s="64"/>
    </row>
    <row r="129">
      <c r="A129" s="72" t="s">
        <v>577</v>
      </c>
      <c r="B129" s="72" t="s">
        <v>1317</v>
      </c>
      <c r="C129" s="72" t="s">
        <v>1282</v>
      </c>
      <c r="D129" s="72" t="s">
        <v>1318</v>
      </c>
      <c r="E129" s="72" t="s">
        <v>1303</v>
      </c>
      <c r="F129" s="81" t="s">
        <v>1311</v>
      </c>
      <c r="G129" s="74" t="s">
        <v>3</v>
      </c>
      <c r="H129" s="64"/>
      <c r="I129" s="64"/>
      <c r="J129" s="64"/>
      <c r="K129" s="64"/>
      <c r="L129" s="64"/>
      <c r="M129" s="64"/>
      <c r="N129" s="64"/>
      <c r="O129" s="64"/>
      <c r="P129" s="64"/>
      <c r="Q129" s="64"/>
      <c r="R129" s="64"/>
      <c r="S129" s="64"/>
      <c r="T129" s="64"/>
      <c r="U129" s="64"/>
      <c r="V129" s="64"/>
      <c r="W129" s="64"/>
      <c r="X129" s="64"/>
      <c r="Y129" s="64"/>
      <c r="Z129" s="64"/>
    </row>
    <row r="130">
      <c r="A130" s="72" t="s">
        <v>581</v>
      </c>
      <c r="B130" s="72" t="s">
        <v>1319</v>
      </c>
      <c r="C130" s="72" t="s">
        <v>1282</v>
      </c>
      <c r="D130" s="72" t="s">
        <v>1320</v>
      </c>
      <c r="E130" s="72" t="s">
        <v>1293</v>
      </c>
      <c r="F130" s="80"/>
      <c r="G130" s="74" t="s">
        <v>3</v>
      </c>
      <c r="H130" s="64"/>
      <c r="I130" s="64"/>
      <c r="J130" s="64"/>
      <c r="K130" s="64"/>
      <c r="L130" s="64"/>
      <c r="M130" s="64"/>
      <c r="N130" s="64"/>
      <c r="O130" s="64"/>
      <c r="P130" s="64"/>
      <c r="Q130" s="64"/>
      <c r="R130" s="64"/>
      <c r="S130" s="64"/>
      <c r="T130" s="64"/>
      <c r="U130" s="64"/>
      <c r="V130" s="64"/>
      <c r="W130" s="64"/>
      <c r="X130" s="64"/>
      <c r="Y130" s="64"/>
      <c r="Z130" s="64"/>
    </row>
    <row r="131">
      <c r="A131" s="72" t="s">
        <v>587</v>
      </c>
      <c r="B131" s="72" t="s">
        <v>1321</v>
      </c>
      <c r="C131" s="72" t="s">
        <v>1282</v>
      </c>
      <c r="D131" s="72" t="s">
        <v>1322</v>
      </c>
      <c r="E131" s="72" t="s">
        <v>1310</v>
      </c>
      <c r="F131" s="81" t="s">
        <v>1311</v>
      </c>
      <c r="G131" s="74" t="s">
        <v>3</v>
      </c>
      <c r="H131" s="64"/>
      <c r="I131" s="64"/>
      <c r="J131" s="64"/>
      <c r="K131" s="64"/>
      <c r="L131" s="64"/>
      <c r="M131" s="64"/>
      <c r="N131" s="64"/>
      <c r="O131" s="64"/>
      <c r="P131" s="64"/>
      <c r="Q131" s="64"/>
      <c r="R131" s="64"/>
      <c r="S131" s="64"/>
      <c r="T131" s="64"/>
      <c r="U131" s="64"/>
      <c r="V131" s="64"/>
      <c r="W131" s="64"/>
      <c r="X131" s="64"/>
      <c r="Y131" s="64"/>
      <c r="Z131" s="64"/>
    </row>
    <row r="132">
      <c r="A132" s="72" t="s">
        <v>591</v>
      </c>
      <c r="B132" s="72" t="s">
        <v>1323</v>
      </c>
      <c r="C132" s="72" t="s">
        <v>1282</v>
      </c>
      <c r="D132" s="72" t="s">
        <v>1324</v>
      </c>
      <c r="E132" s="72" t="s">
        <v>1303</v>
      </c>
      <c r="F132" s="80"/>
      <c r="G132" s="74" t="s">
        <v>3</v>
      </c>
      <c r="H132" s="64"/>
      <c r="I132" s="64"/>
      <c r="J132" s="64"/>
      <c r="K132" s="64"/>
      <c r="L132" s="64"/>
      <c r="M132" s="64"/>
      <c r="N132" s="64"/>
      <c r="O132" s="64"/>
      <c r="P132" s="64"/>
      <c r="Q132" s="64"/>
      <c r="R132" s="64"/>
      <c r="S132" s="64"/>
      <c r="T132" s="64"/>
      <c r="U132" s="64"/>
      <c r="V132" s="64"/>
      <c r="W132" s="64"/>
      <c r="X132" s="64"/>
      <c r="Y132" s="64"/>
      <c r="Z132" s="64"/>
    </row>
    <row r="133">
      <c r="A133" s="72" t="s">
        <v>595</v>
      </c>
      <c r="B133" s="72" t="s">
        <v>1325</v>
      </c>
      <c r="C133" s="72" t="s">
        <v>1282</v>
      </c>
      <c r="D133" s="72" t="s">
        <v>1326</v>
      </c>
      <c r="E133" s="72" t="s">
        <v>1327</v>
      </c>
      <c r="F133" s="80"/>
      <c r="G133" s="74" t="s">
        <v>3</v>
      </c>
      <c r="H133" s="64"/>
      <c r="I133" s="64"/>
      <c r="J133" s="64"/>
      <c r="K133" s="64"/>
      <c r="L133" s="64"/>
      <c r="M133" s="64"/>
      <c r="N133" s="64"/>
      <c r="O133" s="64"/>
      <c r="P133" s="64"/>
      <c r="Q133" s="64"/>
      <c r="R133" s="64"/>
      <c r="S133" s="64"/>
      <c r="T133" s="64"/>
      <c r="U133" s="64"/>
      <c r="V133" s="64"/>
      <c r="W133" s="64"/>
      <c r="X133" s="64"/>
      <c r="Y133" s="64"/>
      <c r="Z133" s="64"/>
    </row>
    <row r="134">
      <c r="A134" s="72" t="s">
        <v>600</v>
      </c>
      <c r="B134" s="72" t="s">
        <v>1328</v>
      </c>
      <c r="C134" s="72" t="s">
        <v>1282</v>
      </c>
      <c r="D134" s="72" t="s">
        <v>1329</v>
      </c>
      <c r="E134" s="72" t="s">
        <v>1303</v>
      </c>
      <c r="F134" s="80"/>
      <c r="G134" s="74" t="s">
        <v>3</v>
      </c>
      <c r="H134" s="64"/>
      <c r="I134" s="64"/>
      <c r="J134" s="64"/>
      <c r="K134" s="64"/>
      <c r="L134" s="64"/>
      <c r="M134" s="64"/>
      <c r="N134" s="64"/>
      <c r="O134" s="64"/>
      <c r="P134" s="64"/>
      <c r="Q134" s="64"/>
      <c r="R134" s="64"/>
      <c r="S134" s="64"/>
      <c r="T134" s="64"/>
      <c r="U134" s="64"/>
      <c r="V134" s="64"/>
      <c r="W134" s="64"/>
      <c r="X134" s="64"/>
      <c r="Y134" s="64"/>
      <c r="Z134" s="64"/>
    </row>
    <row r="135">
      <c r="A135" s="72" t="s">
        <v>605</v>
      </c>
      <c r="B135" s="72" t="s">
        <v>1330</v>
      </c>
      <c r="C135" s="72" t="s">
        <v>1282</v>
      </c>
      <c r="D135" s="72" t="s">
        <v>1318</v>
      </c>
      <c r="E135" s="72" t="s">
        <v>1303</v>
      </c>
      <c r="F135" s="81" t="s">
        <v>1311</v>
      </c>
      <c r="G135" s="74" t="s">
        <v>3</v>
      </c>
      <c r="H135" s="64"/>
      <c r="I135" s="64"/>
      <c r="J135" s="64"/>
      <c r="K135" s="64"/>
      <c r="L135" s="64"/>
      <c r="M135" s="64"/>
      <c r="N135" s="64"/>
      <c r="O135" s="64"/>
      <c r="P135" s="64"/>
      <c r="Q135" s="64"/>
      <c r="R135" s="64"/>
      <c r="S135" s="64"/>
      <c r="T135" s="64"/>
      <c r="U135" s="64"/>
      <c r="V135" s="64"/>
      <c r="W135" s="64"/>
      <c r="X135" s="64"/>
      <c r="Y135" s="64"/>
      <c r="Z135" s="64"/>
    </row>
    <row r="136">
      <c r="A136" s="72" t="s">
        <v>610</v>
      </c>
      <c r="B136" s="72" t="s">
        <v>1331</v>
      </c>
      <c r="C136" s="72" t="s">
        <v>1282</v>
      </c>
      <c r="D136" s="72" t="s">
        <v>1332</v>
      </c>
      <c r="E136" s="72" t="s">
        <v>1293</v>
      </c>
      <c r="F136" s="80"/>
      <c r="G136" s="74" t="s">
        <v>3</v>
      </c>
      <c r="H136" s="64"/>
      <c r="I136" s="64"/>
      <c r="J136" s="64"/>
      <c r="K136" s="64"/>
      <c r="L136" s="64"/>
      <c r="M136" s="64"/>
      <c r="N136" s="64"/>
      <c r="O136" s="64"/>
      <c r="P136" s="64"/>
      <c r="Q136" s="64"/>
      <c r="R136" s="64"/>
      <c r="S136" s="64"/>
      <c r="T136" s="64"/>
      <c r="U136" s="64"/>
      <c r="V136" s="64"/>
      <c r="W136" s="64"/>
      <c r="X136" s="64"/>
      <c r="Y136" s="64"/>
      <c r="Z136" s="64"/>
    </row>
    <row r="137">
      <c r="A137" s="72" t="s">
        <v>614</v>
      </c>
      <c r="B137" s="72" t="s">
        <v>1333</v>
      </c>
      <c r="C137" s="72" t="s">
        <v>1282</v>
      </c>
      <c r="D137" s="72" t="s">
        <v>1334</v>
      </c>
      <c r="E137" s="72" t="s">
        <v>1310</v>
      </c>
      <c r="F137" s="81" t="s">
        <v>1311</v>
      </c>
      <c r="G137" s="74" t="s">
        <v>3</v>
      </c>
      <c r="H137" s="64"/>
      <c r="I137" s="64"/>
      <c r="J137" s="64"/>
      <c r="K137" s="64"/>
      <c r="L137" s="64"/>
      <c r="M137" s="64"/>
      <c r="N137" s="64"/>
      <c r="O137" s="64"/>
      <c r="P137" s="64"/>
      <c r="Q137" s="64"/>
      <c r="R137" s="64"/>
      <c r="S137" s="64"/>
      <c r="T137" s="64"/>
      <c r="U137" s="64"/>
      <c r="V137" s="64"/>
      <c r="W137" s="64"/>
      <c r="X137" s="64"/>
      <c r="Y137" s="64"/>
      <c r="Z137" s="64"/>
    </row>
    <row r="138">
      <c r="A138" s="72" t="s">
        <v>618</v>
      </c>
      <c r="B138" s="72" t="s">
        <v>1335</v>
      </c>
      <c r="C138" s="72" t="s">
        <v>1282</v>
      </c>
      <c r="D138" s="72" t="s">
        <v>1318</v>
      </c>
      <c r="E138" s="72" t="s">
        <v>1303</v>
      </c>
      <c r="F138" s="80"/>
      <c r="G138" s="74" t="s">
        <v>3</v>
      </c>
      <c r="H138" s="64"/>
      <c r="I138" s="64"/>
      <c r="J138" s="64"/>
      <c r="K138" s="64"/>
      <c r="L138" s="64"/>
      <c r="M138" s="64"/>
      <c r="N138" s="64"/>
      <c r="O138" s="64"/>
      <c r="P138" s="64"/>
      <c r="Q138" s="64"/>
      <c r="R138" s="64"/>
      <c r="S138" s="64"/>
      <c r="T138" s="64"/>
      <c r="U138" s="64"/>
      <c r="V138" s="64"/>
      <c r="W138" s="64"/>
      <c r="X138" s="64"/>
      <c r="Y138" s="64"/>
      <c r="Z138" s="64"/>
    </row>
    <row r="139">
      <c r="A139" s="72" t="s">
        <v>623</v>
      </c>
      <c r="B139" s="72" t="s">
        <v>1336</v>
      </c>
      <c r="C139" s="72" t="s">
        <v>1282</v>
      </c>
      <c r="D139" s="72" t="s">
        <v>1337</v>
      </c>
      <c r="E139" s="72" t="s">
        <v>1303</v>
      </c>
      <c r="F139" s="80"/>
      <c r="G139" s="74" t="s">
        <v>3</v>
      </c>
      <c r="H139" s="64"/>
      <c r="I139" s="64"/>
      <c r="J139" s="64"/>
      <c r="K139" s="64"/>
      <c r="L139" s="64"/>
      <c r="M139" s="64"/>
      <c r="N139" s="64"/>
      <c r="O139" s="64"/>
      <c r="P139" s="64"/>
      <c r="Q139" s="64"/>
      <c r="R139" s="64"/>
      <c r="S139" s="64"/>
      <c r="T139" s="64"/>
      <c r="U139" s="64"/>
      <c r="V139" s="64"/>
      <c r="W139" s="64"/>
      <c r="X139" s="64"/>
      <c r="Y139" s="64"/>
      <c r="Z139" s="64"/>
    </row>
    <row r="140">
      <c r="A140" s="72" t="s">
        <v>633</v>
      </c>
      <c r="B140" s="72" t="s">
        <v>1338</v>
      </c>
      <c r="C140" s="72" t="s">
        <v>1282</v>
      </c>
      <c r="D140" s="72" t="s">
        <v>1339</v>
      </c>
      <c r="E140" s="72" t="s">
        <v>1303</v>
      </c>
      <c r="F140" s="80"/>
      <c r="G140" s="74" t="s">
        <v>3</v>
      </c>
      <c r="H140" s="64"/>
      <c r="I140" s="64"/>
      <c r="J140" s="64"/>
      <c r="K140" s="64"/>
      <c r="L140" s="64"/>
      <c r="M140" s="64"/>
      <c r="N140" s="64"/>
      <c r="O140" s="64"/>
      <c r="P140" s="64"/>
      <c r="Q140" s="64"/>
      <c r="R140" s="64"/>
      <c r="S140" s="64"/>
      <c r="T140" s="64"/>
      <c r="U140" s="64"/>
      <c r="V140" s="64"/>
      <c r="W140" s="64"/>
      <c r="X140" s="64"/>
      <c r="Y140" s="64"/>
      <c r="Z140" s="64"/>
    </row>
    <row r="141">
      <c r="A141" s="72" t="s">
        <v>637</v>
      </c>
      <c r="B141" s="72" t="s">
        <v>1340</v>
      </c>
      <c r="C141" s="72" t="s">
        <v>1282</v>
      </c>
      <c r="D141" s="72" t="s">
        <v>1341</v>
      </c>
      <c r="E141" s="72" t="s">
        <v>1342</v>
      </c>
      <c r="F141" s="80"/>
      <c r="G141" s="74" t="s">
        <v>3</v>
      </c>
      <c r="H141" s="64"/>
      <c r="I141" s="64"/>
      <c r="J141" s="64"/>
      <c r="K141" s="64"/>
      <c r="L141" s="64"/>
      <c r="M141" s="64"/>
      <c r="N141" s="64"/>
      <c r="O141" s="64"/>
      <c r="P141" s="64"/>
      <c r="Q141" s="64"/>
      <c r="R141" s="64"/>
      <c r="S141" s="64"/>
      <c r="T141" s="64"/>
      <c r="U141" s="64"/>
      <c r="V141" s="64"/>
      <c r="W141" s="64"/>
      <c r="X141" s="64"/>
      <c r="Y141" s="64"/>
      <c r="Z141" s="64"/>
    </row>
    <row r="142">
      <c r="A142" s="72" t="s">
        <v>642</v>
      </c>
      <c r="B142" s="72" t="s">
        <v>1343</v>
      </c>
      <c r="C142" s="72" t="s">
        <v>1282</v>
      </c>
      <c r="D142" s="72" t="s">
        <v>1344</v>
      </c>
      <c r="E142" s="72" t="s">
        <v>1303</v>
      </c>
      <c r="F142" s="80"/>
      <c r="G142" s="74" t="s">
        <v>3</v>
      </c>
      <c r="H142" s="64"/>
      <c r="I142" s="64"/>
      <c r="J142" s="64"/>
      <c r="K142" s="64"/>
      <c r="L142" s="64"/>
      <c r="M142" s="64"/>
      <c r="N142" s="64"/>
      <c r="O142" s="64"/>
      <c r="P142" s="64"/>
      <c r="Q142" s="64"/>
      <c r="R142" s="64"/>
      <c r="S142" s="64"/>
      <c r="T142" s="64"/>
      <c r="U142" s="64"/>
      <c r="V142" s="64"/>
      <c r="W142" s="64"/>
      <c r="X142" s="64"/>
      <c r="Y142" s="64"/>
      <c r="Z142" s="64"/>
    </row>
    <row r="143">
      <c r="A143" s="72" t="s">
        <v>645</v>
      </c>
      <c r="B143" s="72" t="s">
        <v>1345</v>
      </c>
      <c r="C143" s="72" t="s">
        <v>1282</v>
      </c>
      <c r="D143" s="72" t="s">
        <v>1346</v>
      </c>
      <c r="E143" s="72" t="s">
        <v>1342</v>
      </c>
      <c r="F143" s="80"/>
      <c r="G143" s="74" t="s">
        <v>3</v>
      </c>
      <c r="H143" s="64"/>
      <c r="I143" s="64"/>
      <c r="J143" s="64"/>
      <c r="K143" s="64"/>
      <c r="L143" s="64"/>
      <c r="M143" s="64"/>
      <c r="N143" s="64"/>
      <c r="O143" s="64"/>
      <c r="P143" s="64"/>
      <c r="Q143" s="64"/>
      <c r="R143" s="64"/>
      <c r="S143" s="64"/>
      <c r="T143" s="64"/>
      <c r="U143" s="64"/>
      <c r="V143" s="64"/>
      <c r="W143" s="64"/>
      <c r="X143" s="64"/>
      <c r="Y143" s="64"/>
      <c r="Z143" s="64"/>
    </row>
    <row r="144">
      <c r="A144" s="72" t="s">
        <v>649</v>
      </c>
      <c r="B144" s="72" t="s">
        <v>1347</v>
      </c>
      <c r="C144" s="72" t="s">
        <v>1282</v>
      </c>
      <c r="D144" s="72" t="s">
        <v>1348</v>
      </c>
      <c r="E144" s="72" t="s">
        <v>1303</v>
      </c>
      <c r="F144" s="80"/>
      <c r="G144" s="74" t="s">
        <v>3</v>
      </c>
      <c r="H144" s="64"/>
      <c r="I144" s="64"/>
      <c r="J144" s="64"/>
      <c r="K144" s="64"/>
      <c r="L144" s="64"/>
      <c r="M144" s="64"/>
      <c r="N144" s="64"/>
      <c r="O144" s="64"/>
      <c r="P144" s="64"/>
      <c r="Q144" s="64"/>
      <c r="R144" s="64"/>
      <c r="S144" s="64"/>
      <c r="T144" s="64"/>
      <c r="U144" s="64"/>
      <c r="V144" s="64"/>
      <c r="W144" s="64"/>
      <c r="X144" s="64"/>
      <c r="Y144" s="64"/>
      <c r="Z144" s="64"/>
    </row>
    <row r="145">
      <c r="A145" s="72" t="s">
        <v>654</v>
      </c>
      <c r="B145" s="72" t="s">
        <v>1349</v>
      </c>
      <c r="C145" s="72" t="s">
        <v>1282</v>
      </c>
      <c r="D145" s="72" t="s">
        <v>1350</v>
      </c>
      <c r="E145" s="72" t="s">
        <v>1303</v>
      </c>
      <c r="F145" s="80"/>
      <c r="G145" s="74" t="s">
        <v>3</v>
      </c>
      <c r="H145" s="64"/>
      <c r="I145" s="64"/>
      <c r="J145" s="64"/>
      <c r="K145" s="64"/>
      <c r="L145" s="64"/>
      <c r="M145" s="64"/>
      <c r="N145" s="64"/>
      <c r="O145" s="64"/>
      <c r="P145" s="64"/>
      <c r="Q145" s="64"/>
      <c r="R145" s="64"/>
      <c r="S145" s="64"/>
      <c r="T145" s="64"/>
      <c r="U145" s="64"/>
      <c r="V145" s="64"/>
      <c r="W145" s="64"/>
      <c r="X145" s="64"/>
      <c r="Y145" s="64"/>
      <c r="Z145" s="64"/>
    </row>
    <row r="146">
      <c r="A146" s="72" t="s">
        <v>658</v>
      </c>
      <c r="B146" s="72" t="s">
        <v>1351</v>
      </c>
      <c r="C146" s="72" t="s">
        <v>1282</v>
      </c>
      <c r="D146" s="72" t="s">
        <v>1352</v>
      </c>
      <c r="E146" s="72" t="s">
        <v>1353</v>
      </c>
      <c r="F146" s="80"/>
      <c r="G146" s="74" t="s">
        <v>3</v>
      </c>
      <c r="H146" s="64"/>
      <c r="I146" s="64"/>
      <c r="J146" s="64"/>
      <c r="K146" s="64"/>
      <c r="L146" s="64"/>
      <c r="M146" s="64"/>
      <c r="N146" s="64"/>
      <c r="O146" s="64"/>
      <c r="P146" s="64"/>
      <c r="Q146" s="64"/>
      <c r="R146" s="64"/>
      <c r="S146" s="64"/>
      <c r="T146" s="64"/>
      <c r="U146" s="64"/>
      <c r="V146" s="64"/>
      <c r="W146" s="64"/>
      <c r="X146" s="64"/>
      <c r="Y146" s="64"/>
      <c r="Z146" s="64"/>
    </row>
    <row r="147">
      <c r="A147" s="72" t="s">
        <v>662</v>
      </c>
      <c r="B147" s="72" t="s">
        <v>1354</v>
      </c>
      <c r="C147" s="72" t="s">
        <v>1282</v>
      </c>
      <c r="D147" s="72" t="s">
        <v>1355</v>
      </c>
      <c r="E147" s="72" t="s">
        <v>1356</v>
      </c>
      <c r="F147" s="80"/>
      <c r="G147" s="74" t="s">
        <v>3</v>
      </c>
      <c r="H147" s="64"/>
      <c r="I147" s="64"/>
      <c r="J147" s="64"/>
      <c r="K147" s="64"/>
      <c r="L147" s="64"/>
      <c r="M147" s="64"/>
      <c r="N147" s="64"/>
      <c r="O147" s="64"/>
      <c r="P147" s="64"/>
      <c r="Q147" s="64"/>
      <c r="R147" s="64"/>
      <c r="S147" s="64"/>
      <c r="T147" s="64"/>
      <c r="U147" s="64"/>
      <c r="V147" s="64"/>
      <c r="W147" s="64"/>
      <c r="X147" s="64"/>
      <c r="Y147" s="64"/>
      <c r="Z147" s="64"/>
    </row>
    <row r="148">
      <c r="A148" s="72" t="s">
        <v>666</v>
      </c>
      <c r="B148" s="72" t="s">
        <v>1357</v>
      </c>
      <c r="C148" s="72" t="s">
        <v>1282</v>
      </c>
      <c r="D148" s="72" t="s">
        <v>1358</v>
      </c>
      <c r="E148" s="72" t="s">
        <v>1356</v>
      </c>
      <c r="F148" s="80"/>
      <c r="G148" s="74" t="s">
        <v>3</v>
      </c>
      <c r="H148" s="64"/>
      <c r="I148" s="64"/>
      <c r="J148" s="64"/>
      <c r="K148" s="64"/>
      <c r="L148" s="64"/>
      <c r="M148" s="64"/>
      <c r="N148" s="64"/>
      <c r="O148" s="64"/>
      <c r="P148" s="64"/>
      <c r="Q148" s="64"/>
      <c r="R148" s="64"/>
      <c r="S148" s="64"/>
      <c r="T148" s="64"/>
      <c r="U148" s="64"/>
      <c r="V148" s="64"/>
      <c r="W148" s="64"/>
      <c r="X148" s="64"/>
      <c r="Y148" s="64"/>
      <c r="Z148" s="64"/>
    </row>
    <row r="149">
      <c r="A149" s="72" t="s">
        <v>687</v>
      </c>
      <c r="B149" s="72" t="s">
        <v>1359</v>
      </c>
      <c r="C149" s="72" t="s">
        <v>1282</v>
      </c>
      <c r="D149" s="72" t="s">
        <v>1360</v>
      </c>
      <c r="E149" s="72" t="s">
        <v>1303</v>
      </c>
      <c r="F149" s="80"/>
      <c r="G149" s="74" t="s">
        <v>3</v>
      </c>
      <c r="H149" s="64"/>
      <c r="I149" s="64"/>
      <c r="J149" s="64"/>
      <c r="K149" s="64"/>
      <c r="L149" s="64"/>
      <c r="M149" s="64"/>
      <c r="N149" s="64"/>
      <c r="O149" s="64"/>
      <c r="P149" s="64"/>
      <c r="Q149" s="64"/>
      <c r="R149" s="64"/>
      <c r="S149" s="64"/>
      <c r="T149" s="64"/>
      <c r="U149" s="64"/>
      <c r="V149" s="64"/>
      <c r="W149" s="64"/>
      <c r="X149" s="64"/>
      <c r="Y149" s="64"/>
      <c r="Z149" s="64"/>
    </row>
    <row r="150">
      <c r="A150" s="72" t="s">
        <v>704</v>
      </c>
      <c r="B150" s="72" t="s">
        <v>1361</v>
      </c>
      <c r="C150" s="72" t="s">
        <v>1282</v>
      </c>
      <c r="D150" s="72" t="s">
        <v>1362</v>
      </c>
      <c r="E150" s="72" t="s">
        <v>1363</v>
      </c>
      <c r="F150" s="80"/>
      <c r="G150" s="74" t="s">
        <v>3</v>
      </c>
      <c r="H150" s="64"/>
      <c r="I150" s="64"/>
      <c r="J150" s="64"/>
      <c r="K150" s="64"/>
      <c r="L150" s="64"/>
      <c r="M150" s="64"/>
      <c r="N150" s="64"/>
      <c r="O150" s="64"/>
      <c r="P150" s="64"/>
      <c r="Q150" s="64"/>
      <c r="R150" s="64"/>
      <c r="S150" s="64"/>
      <c r="T150" s="64"/>
      <c r="U150" s="64"/>
      <c r="V150" s="64"/>
      <c r="W150" s="64"/>
      <c r="X150" s="64"/>
      <c r="Y150" s="64"/>
      <c r="Z150" s="64"/>
    </row>
    <row r="151">
      <c r="A151" s="72" t="s">
        <v>707</v>
      </c>
      <c r="B151" s="72" t="s">
        <v>1364</v>
      </c>
      <c r="C151" s="72" t="s">
        <v>1282</v>
      </c>
      <c r="D151" s="72" t="s">
        <v>1365</v>
      </c>
      <c r="E151" s="72" t="s">
        <v>1366</v>
      </c>
      <c r="F151" s="80"/>
      <c r="G151" s="74" t="s">
        <v>3</v>
      </c>
      <c r="H151" s="64"/>
      <c r="I151" s="64"/>
      <c r="J151" s="64"/>
      <c r="K151" s="64"/>
      <c r="L151" s="64"/>
      <c r="M151" s="64"/>
      <c r="N151" s="64"/>
      <c r="O151" s="64"/>
      <c r="P151" s="64"/>
      <c r="Q151" s="64"/>
      <c r="R151" s="64"/>
      <c r="S151" s="64"/>
      <c r="T151" s="64"/>
      <c r="U151" s="64"/>
      <c r="V151" s="64"/>
      <c r="W151" s="64"/>
      <c r="X151" s="64"/>
      <c r="Y151" s="64"/>
      <c r="Z151" s="64"/>
    </row>
    <row r="152">
      <c r="A152" s="72" t="s">
        <v>711</v>
      </c>
      <c r="B152" s="72" t="s">
        <v>1367</v>
      </c>
      <c r="C152" s="72" t="s">
        <v>1368</v>
      </c>
      <c r="D152" s="72" t="s">
        <v>1369</v>
      </c>
      <c r="E152" s="72" t="s">
        <v>1370</v>
      </c>
      <c r="F152" s="107" t="s">
        <v>1371</v>
      </c>
      <c r="G152" s="74" t="s">
        <v>5</v>
      </c>
      <c r="H152" s="64"/>
      <c r="I152" s="64"/>
      <c r="J152" s="64"/>
      <c r="K152" s="64"/>
      <c r="L152" s="64"/>
      <c r="M152" s="64"/>
      <c r="N152" s="64"/>
      <c r="O152" s="64"/>
      <c r="P152" s="64"/>
      <c r="Q152" s="64"/>
      <c r="R152" s="64"/>
      <c r="S152" s="64"/>
      <c r="T152" s="64"/>
      <c r="U152" s="64"/>
      <c r="V152" s="64"/>
      <c r="W152" s="64"/>
      <c r="X152" s="64"/>
      <c r="Y152" s="64"/>
      <c r="Z152" s="64"/>
    </row>
    <row r="153">
      <c r="A153" s="72" t="s">
        <v>717</v>
      </c>
      <c r="B153" s="72" t="s">
        <v>1372</v>
      </c>
      <c r="C153" s="72" t="s">
        <v>1282</v>
      </c>
      <c r="D153" s="72" t="s">
        <v>1373</v>
      </c>
      <c r="E153" s="72" t="s">
        <v>1374</v>
      </c>
      <c r="F153" s="80"/>
      <c r="G153" s="74" t="s">
        <v>3</v>
      </c>
      <c r="H153" s="64"/>
      <c r="I153" s="64"/>
      <c r="J153" s="64"/>
      <c r="K153" s="64"/>
      <c r="L153" s="64"/>
      <c r="M153" s="64"/>
      <c r="N153" s="64"/>
      <c r="O153" s="64"/>
      <c r="P153" s="64"/>
      <c r="Q153" s="64"/>
      <c r="R153" s="64"/>
      <c r="S153" s="64"/>
      <c r="T153" s="64"/>
      <c r="U153" s="64"/>
      <c r="V153" s="64"/>
      <c r="W153" s="64"/>
      <c r="X153" s="64"/>
      <c r="Y153" s="64"/>
      <c r="Z153" s="64"/>
    </row>
    <row r="154">
      <c r="A154" s="72" t="s">
        <v>720</v>
      </c>
      <c r="B154" s="72" t="s">
        <v>1375</v>
      </c>
      <c r="C154" s="72" t="s">
        <v>1282</v>
      </c>
      <c r="D154" s="72" t="s">
        <v>1376</v>
      </c>
      <c r="E154" s="72" t="s">
        <v>1377</v>
      </c>
      <c r="F154" s="80"/>
      <c r="G154" s="74" t="s">
        <v>3</v>
      </c>
      <c r="H154" s="64"/>
      <c r="I154" s="64"/>
      <c r="J154" s="64"/>
      <c r="K154" s="64"/>
      <c r="L154" s="64"/>
      <c r="M154" s="64"/>
      <c r="N154" s="64"/>
      <c r="O154" s="64"/>
      <c r="P154" s="64"/>
      <c r="Q154" s="64"/>
      <c r="R154" s="64"/>
      <c r="S154" s="64"/>
      <c r="T154" s="64"/>
      <c r="U154" s="64"/>
      <c r="V154" s="64"/>
      <c r="W154" s="64"/>
      <c r="X154" s="64"/>
      <c r="Y154" s="64"/>
      <c r="Z154" s="64"/>
    </row>
    <row r="155">
      <c r="A155" s="104"/>
      <c r="B155" s="105" t="s">
        <v>1378</v>
      </c>
      <c r="C155" s="104"/>
      <c r="D155" s="104"/>
      <c r="E155" s="104"/>
      <c r="F155" s="69"/>
      <c r="G155" s="69"/>
      <c r="H155" s="64"/>
      <c r="I155" s="64"/>
      <c r="J155" s="64"/>
      <c r="K155" s="64"/>
      <c r="L155" s="64"/>
      <c r="M155" s="64"/>
      <c r="N155" s="64"/>
      <c r="O155" s="64"/>
      <c r="P155" s="64"/>
      <c r="Q155" s="64"/>
      <c r="R155" s="64"/>
      <c r="S155" s="64"/>
      <c r="T155" s="64"/>
      <c r="U155" s="64"/>
      <c r="V155" s="64"/>
      <c r="W155" s="64"/>
      <c r="X155" s="64"/>
      <c r="Y155" s="64"/>
      <c r="Z155" s="64"/>
    </row>
    <row r="156">
      <c r="A156" s="72" t="s">
        <v>724</v>
      </c>
      <c r="B156" s="72" t="s">
        <v>1379</v>
      </c>
      <c r="C156" s="72" t="s">
        <v>1380</v>
      </c>
      <c r="D156" s="72" t="s">
        <v>1381</v>
      </c>
      <c r="E156" s="72" t="s">
        <v>1303</v>
      </c>
      <c r="F156" s="80"/>
      <c r="G156" s="108" t="s">
        <v>3</v>
      </c>
      <c r="H156" s="64"/>
      <c r="I156" s="64"/>
      <c r="J156" s="64"/>
      <c r="K156" s="64"/>
      <c r="L156" s="64"/>
      <c r="M156" s="64"/>
      <c r="N156" s="64"/>
      <c r="O156" s="64"/>
      <c r="P156" s="64"/>
      <c r="Q156" s="64"/>
      <c r="R156" s="64"/>
      <c r="S156" s="64"/>
      <c r="T156" s="64"/>
      <c r="U156" s="64"/>
      <c r="V156" s="64"/>
      <c r="W156" s="64"/>
      <c r="X156" s="64"/>
      <c r="Y156" s="64"/>
      <c r="Z156" s="64"/>
    </row>
    <row r="157">
      <c r="A157" s="72" t="s">
        <v>732</v>
      </c>
      <c r="B157" s="72" t="s">
        <v>1382</v>
      </c>
      <c r="C157" s="72" t="s">
        <v>1380</v>
      </c>
      <c r="D157" s="72" t="s">
        <v>1383</v>
      </c>
      <c r="E157" s="72" t="s">
        <v>1303</v>
      </c>
      <c r="F157" s="80"/>
      <c r="G157" s="108" t="s">
        <v>3</v>
      </c>
      <c r="H157" s="64"/>
      <c r="I157" s="64"/>
      <c r="J157" s="64"/>
      <c r="K157" s="64"/>
      <c r="L157" s="64"/>
      <c r="M157" s="64"/>
      <c r="N157" s="64"/>
      <c r="O157" s="64"/>
      <c r="P157" s="64"/>
      <c r="Q157" s="64"/>
      <c r="R157" s="64"/>
      <c r="S157" s="64"/>
      <c r="T157" s="64"/>
      <c r="U157" s="64"/>
      <c r="V157" s="64"/>
      <c r="W157" s="64"/>
      <c r="X157" s="64"/>
      <c r="Y157" s="64"/>
      <c r="Z157" s="64"/>
    </row>
    <row r="158">
      <c r="A158" s="72" t="s">
        <v>736</v>
      </c>
      <c r="B158" s="72" t="s">
        <v>1384</v>
      </c>
      <c r="C158" s="72" t="s">
        <v>1380</v>
      </c>
      <c r="D158" s="72" t="s">
        <v>1385</v>
      </c>
      <c r="E158" s="72" t="s">
        <v>1303</v>
      </c>
      <c r="F158" s="80"/>
      <c r="G158" s="108" t="s">
        <v>3</v>
      </c>
      <c r="H158" s="64"/>
      <c r="I158" s="64"/>
      <c r="J158" s="64"/>
      <c r="K158" s="64"/>
      <c r="L158" s="64"/>
      <c r="M158" s="64"/>
      <c r="N158" s="64"/>
      <c r="O158" s="64"/>
      <c r="P158" s="64"/>
      <c r="Q158" s="64"/>
      <c r="R158" s="64"/>
      <c r="S158" s="64"/>
      <c r="T158" s="64"/>
      <c r="U158" s="64"/>
      <c r="V158" s="64"/>
      <c r="W158" s="64"/>
      <c r="X158" s="64"/>
      <c r="Y158" s="64"/>
      <c r="Z158" s="64"/>
    </row>
    <row r="159">
      <c r="A159" s="72" t="s">
        <v>741</v>
      </c>
      <c r="B159" s="72" t="s">
        <v>1386</v>
      </c>
      <c r="C159" s="72" t="s">
        <v>1380</v>
      </c>
      <c r="D159" s="72" t="s">
        <v>1387</v>
      </c>
      <c r="E159" s="72" t="s">
        <v>1303</v>
      </c>
      <c r="F159" s="80"/>
      <c r="G159" s="108" t="s">
        <v>3</v>
      </c>
      <c r="H159" s="64"/>
      <c r="I159" s="64"/>
      <c r="J159" s="64"/>
      <c r="K159" s="64"/>
      <c r="L159" s="64"/>
      <c r="M159" s="64"/>
      <c r="N159" s="64"/>
      <c r="O159" s="64"/>
      <c r="P159" s="64"/>
      <c r="Q159" s="64"/>
      <c r="R159" s="64"/>
      <c r="S159" s="64"/>
      <c r="T159" s="64"/>
      <c r="U159" s="64"/>
      <c r="V159" s="64"/>
      <c r="W159" s="64"/>
      <c r="X159" s="64"/>
      <c r="Y159" s="64"/>
      <c r="Z159" s="64"/>
    </row>
    <row r="160">
      <c r="A160" s="72" t="s">
        <v>744</v>
      </c>
      <c r="B160" s="72" t="s">
        <v>1388</v>
      </c>
      <c r="C160" s="72" t="s">
        <v>1380</v>
      </c>
      <c r="D160" s="72" t="s">
        <v>1389</v>
      </c>
      <c r="E160" s="72" t="s">
        <v>1303</v>
      </c>
      <c r="F160" s="80"/>
      <c r="G160" s="108" t="s">
        <v>3</v>
      </c>
      <c r="H160" s="64"/>
      <c r="I160" s="64"/>
      <c r="J160" s="64"/>
      <c r="K160" s="64"/>
      <c r="L160" s="64"/>
      <c r="M160" s="64"/>
      <c r="N160" s="64"/>
      <c r="O160" s="64"/>
      <c r="P160" s="64"/>
      <c r="Q160" s="64"/>
      <c r="R160" s="64"/>
      <c r="S160" s="64"/>
      <c r="T160" s="64"/>
      <c r="U160" s="64"/>
      <c r="V160" s="64"/>
      <c r="W160" s="64"/>
      <c r="X160" s="64"/>
      <c r="Y160" s="64"/>
      <c r="Z160" s="64"/>
    </row>
    <row r="161">
      <c r="A161" s="72" t="s">
        <v>761</v>
      </c>
      <c r="B161" s="72" t="s">
        <v>1390</v>
      </c>
      <c r="C161" s="72" t="s">
        <v>1380</v>
      </c>
      <c r="D161" s="72" t="s">
        <v>1391</v>
      </c>
      <c r="E161" s="72" t="s">
        <v>1303</v>
      </c>
      <c r="F161" s="80"/>
      <c r="G161" s="108" t="s">
        <v>3</v>
      </c>
      <c r="H161" s="64"/>
      <c r="I161" s="64"/>
      <c r="J161" s="64"/>
      <c r="K161" s="64"/>
      <c r="L161" s="64"/>
      <c r="M161" s="64"/>
      <c r="N161" s="64"/>
      <c r="O161" s="64"/>
      <c r="P161" s="64"/>
      <c r="Q161" s="64"/>
      <c r="R161" s="64"/>
      <c r="S161" s="64"/>
      <c r="T161" s="64"/>
      <c r="U161" s="64"/>
      <c r="V161" s="64"/>
      <c r="W161" s="64"/>
      <c r="X161" s="64"/>
      <c r="Y161" s="64"/>
      <c r="Z161" s="64"/>
    </row>
    <row r="162">
      <c r="A162" s="72" t="s">
        <v>764</v>
      </c>
      <c r="B162" s="72" t="s">
        <v>1392</v>
      </c>
      <c r="C162" s="72" t="s">
        <v>1380</v>
      </c>
      <c r="D162" s="72" t="s">
        <v>1391</v>
      </c>
      <c r="E162" s="72" t="s">
        <v>1303</v>
      </c>
      <c r="F162" s="80"/>
      <c r="G162" s="108" t="s">
        <v>3</v>
      </c>
      <c r="H162" s="64"/>
      <c r="I162" s="64"/>
      <c r="J162" s="64"/>
      <c r="K162" s="64"/>
      <c r="L162" s="64"/>
      <c r="M162" s="64"/>
      <c r="N162" s="64"/>
      <c r="O162" s="64"/>
      <c r="P162" s="64"/>
      <c r="Q162" s="64"/>
      <c r="R162" s="64"/>
      <c r="S162" s="64"/>
      <c r="T162" s="64"/>
      <c r="U162" s="64"/>
      <c r="V162" s="64"/>
      <c r="W162" s="64"/>
      <c r="X162" s="64"/>
      <c r="Y162" s="64"/>
      <c r="Z162" s="64"/>
    </row>
    <row r="163">
      <c r="A163" s="72" t="s">
        <v>769</v>
      </c>
      <c r="B163" s="72" t="s">
        <v>1393</v>
      </c>
      <c r="C163" s="72" t="s">
        <v>1380</v>
      </c>
      <c r="D163" s="72" t="s">
        <v>1394</v>
      </c>
      <c r="E163" s="72" t="s">
        <v>1395</v>
      </c>
      <c r="F163" s="80"/>
      <c r="G163" s="108" t="s">
        <v>3</v>
      </c>
      <c r="H163" s="64"/>
      <c r="I163" s="64"/>
      <c r="J163" s="64"/>
      <c r="K163" s="64"/>
      <c r="L163" s="64"/>
      <c r="M163" s="64"/>
      <c r="N163" s="64"/>
      <c r="O163" s="64"/>
      <c r="P163" s="64"/>
      <c r="Q163" s="64"/>
      <c r="R163" s="64"/>
      <c r="S163" s="64"/>
      <c r="T163" s="64"/>
      <c r="U163" s="64"/>
      <c r="V163" s="64"/>
      <c r="W163" s="64"/>
      <c r="X163" s="64"/>
      <c r="Y163" s="64"/>
      <c r="Z163" s="64"/>
    </row>
    <row r="164">
      <c r="A164" s="72" t="s">
        <v>773</v>
      </c>
      <c r="B164" s="72" t="s">
        <v>1396</v>
      </c>
      <c r="C164" s="72" t="s">
        <v>1380</v>
      </c>
      <c r="D164" s="72" t="s">
        <v>1373</v>
      </c>
      <c r="E164" s="72" t="s">
        <v>1395</v>
      </c>
      <c r="F164" s="64"/>
      <c r="G164" s="108" t="s">
        <v>3</v>
      </c>
      <c r="H164" s="64"/>
      <c r="I164" s="64"/>
      <c r="J164" s="64"/>
      <c r="K164" s="64"/>
      <c r="L164" s="64"/>
      <c r="M164" s="64"/>
      <c r="N164" s="64"/>
      <c r="O164" s="64"/>
      <c r="P164" s="64"/>
      <c r="Q164" s="64"/>
      <c r="R164" s="64"/>
      <c r="S164" s="64"/>
      <c r="T164" s="64"/>
      <c r="U164" s="64"/>
      <c r="V164" s="64"/>
      <c r="W164" s="64"/>
      <c r="X164" s="64"/>
      <c r="Y164" s="64"/>
      <c r="Z164" s="64"/>
    </row>
    <row r="165">
      <c r="A165" s="72" t="s">
        <v>777</v>
      </c>
      <c r="B165" s="72" t="s">
        <v>1397</v>
      </c>
      <c r="C165" s="72" t="s">
        <v>1380</v>
      </c>
      <c r="D165" s="72" t="s">
        <v>1398</v>
      </c>
      <c r="E165" s="72" t="s">
        <v>1395</v>
      </c>
      <c r="F165" s="64"/>
      <c r="G165" s="108" t="s">
        <v>3</v>
      </c>
      <c r="H165" s="64"/>
      <c r="I165" s="64"/>
      <c r="J165" s="64"/>
      <c r="K165" s="64"/>
      <c r="L165" s="64"/>
      <c r="M165" s="64"/>
      <c r="N165" s="64"/>
      <c r="O165" s="64"/>
      <c r="P165" s="64"/>
      <c r="Q165" s="64"/>
      <c r="R165" s="64"/>
      <c r="S165" s="64"/>
      <c r="T165" s="64"/>
      <c r="U165" s="64"/>
      <c r="V165" s="64"/>
      <c r="W165" s="64"/>
      <c r="X165" s="64"/>
      <c r="Y165" s="64"/>
      <c r="Z165" s="64"/>
    </row>
    <row r="166">
      <c r="A166" s="72" t="s">
        <v>782</v>
      </c>
      <c r="B166" s="72" t="s">
        <v>1399</v>
      </c>
      <c r="C166" s="72" t="s">
        <v>1380</v>
      </c>
      <c r="D166" s="72" t="s">
        <v>1400</v>
      </c>
      <c r="E166" s="72" t="s">
        <v>1395</v>
      </c>
      <c r="F166" s="64"/>
      <c r="G166" s="108" t="s">
        <v>3</v>
      </c>
      <c r="H166" s="64"/>
      <c r="I166" s="64"/>
      <c r="J166" s="64"/>
      <c r="K166" s="64"/>
      <c r="L166" s="64"/>
      <c r="M166" s="64"/>
      <c r="N166" s="64"/>
      <c r="O166" s="64"/>
      <c r="P166" s="64"/>
      <c r="Q166" s="64"/>
      <c r="R166" s="64"/>
      <c r="S166" s="64"/>
      <c r="T166" s="64"/>
      <c r="U166" s="64"/>
      <c r="V166" s="64"/>
      <c r="W166" s="64"/>
      <c r="X166" s="64"/>
      <c r="Y166" s="64"/>
      <c r="Z166" s="64"/>
    </row>
    <row r="167">
      <c r="A167" s="72" t="s">
        <v>785</v>
      </c>
      <c r="B167" s="72" t="s">
        <v>1401</v>
      </c>
      <c r="C167" s="72" t="s">
        <v>1380</v>
      </c>
      <c r="D167" s="72" t="s">
        <v>1365</v>
      </c>
      <c r="E167" s="72" t="s">
        <v>1366</v>
      </c>
      <c r="F167" s="64"/>
      <c r="G167" s="108" t="s">
        <v>3</v>
      </c>
      <c r="H167" s="64"/>
      <c r="I167" s="64"/>
      <c r="J167" s="64"/>
      <c r="K167" s="64"/>
      <c r="L167" s="64"/>
      <c r="M167" s="64"/>
      <c r="N167" s="64"/>
      <c r="O167" s="64"/>
      <c r="P167" s="64"/>
      <c r="Q167" s="64"/>
      <c r="R167" s="64"/>
      <c r="S167" s="64"/>
      <c r="T167" s="64"/>
      <c r="U167" s="64"/>
      <c r="V167" s="64"/>
      <c r="W167" s="64"/>
      <c r="X167" s="64"/>
      <c r="Y167" s="64"/>
      <c r="Z167" s="64"/>
    </row>
    <row r="168">
      <c r="A168" s="72" t="s">
        <v>789</v>
      </c>
      <c r="B168" s="72" t="s">
        <v>1402</v>
      </c>
      <c r="C168" s="72" t="s">
        <v>1380</v>
      </c>
      <c r="D168" s="72" t="s">
        <v>1403</v>
      </c>
      <c r="E168" s="72" t="s">
        <v>1404</v>
      </c>
      <c r="F168" s="64"/>
      <c r="G168" s="108" t="s">
        <v>3</v>
      </c>
      <c r="H168" s="64"/>
      <c r="I168" s="64"/>
      <c r="J168" s="64"/>
      <c r="K168" s="64"/>
      <c r="L168" s="64"/>
      <c r="M168" s="64"/>
      <c r="N168" s="64"/>
      <c r="O168" s="64"/>
      <c r="P168" s="64"/>
      <c r="Q168" s="64"/>
      <c r="R168" s="64"/>
      <c r="S168" s="64"/>
      <c r="T168" s="64"/>
      <c r="U168" s="64"/>
      <c r="V168" s="64"/>
      <c r="W168" s="64"/>
      <c r="X168" s="64"/>
      <c r="Y168" s="64"/>
      <c r="Z168" s="64"/>
    </row>
    <row r="169">
      <c r="A169" s="104"/>
      <c r="B169" s="105" t="s">
        <v>1405</v>
      </c>
      <c r="C169" s="104"/>
      <c r="D169" s="104"/>
      <c r="E169" s="104"/>
      <c r="F169" s="69"/>
      <c r="G169" s="69"/>
      <c r="H169" s="64"/>
      <c r="I169" s="64"/>
      <c r="J169" s="64"/>
      <c r="K169" s="64"/>
      <c r="L169" s="64"/>
      <c r="M169" s="64"/>
      <c r="N169" s="64"/>
      <c r="O169" s="64"/>
      <c r="P169" s="64"/>
      <c r="Q169" s="64"/>
      <c r="R169" s="64"/>
      <c r="S169" s="64"/>
      <c r="T169" s="64"/>
      <c r="U169" s="64"/>
      <c r="V169" s="64"/>
      <c r="W169" s="64"/>
      <c r="X169" s="64"/>
      <c r="Y169" s="64"/>
      <c r="Z169" s="64"/>
    </row>
    <row r="170">
      <c r="A170" s="104"/>
      <c r="B170" s="105" t="s">
        <v>1406</v>
      </c>
      <c r="C170" s="104"/>
      <c r="D170" s="104"/>
      <c r="E170" s="104"/>
      <c r="F170" s="69"/>
      <c r="G170" s="69"/>
      <c r="H170" s="64"/>
      <c r="I170" s="64"/>
      <c r="J170" s="64"/>
      <c r="K170" s="64"/>
      <c r="L170" s="64"/>
      <c r="M170" s="64"/>
      <c r="N170" s="64"/>
      <c r="O170" s="64"/>
      <c r="P170" s="64"/>
      <c r="Q170" s="64"/>
      <c r="R170" s="64"/>
      <c r="S170" s="64"/>
      <c r="T170" s="64"/>
      <c r="U170" s="64"/>
      <c r="V170" s="64"/>
      <c r="W170" s="64"/>
      <c r="X170" s="64"/>
      <c r="Y170" s="64"/>
      <c r="Z170" s="64"/>
    </row>
    <row r="171">
      <c r="A171" s="72" t="s">
        <v>796</v>
      </c>
      <c r="B171" s="72" t="s">
        <v>1407</v>
      </c>
      <c r="C171" s="72" t="s">
        <v>1278</v>
      </c>
      <c r="D171" s="72" t="s">
        <v>1408</v>
      </c>
      <c r="E171" s="72" t="s">
        <v>1409</v>
      </c>
      <c r="F171" s="64"/>
      <c r="G171" s="108" t="s">
        <v>3</v>
      </c>
      <c r="H171" s="64"/>
      <c r="I171" s="64"/>
      <c r="J171" s="64"/>
      <c r="K171" s="64"/>
      <c r="L171" s="64"/>
      <c r="M171" s="64"/>
      <c r="N171" s="64"/>
      <c r="O171" s="64"/>
      <c r="P171" s="64"/>
      <c r="Q171" s="64"/>
      <c r="R171" s="64"/>
      <c r="S171" s="64"/>
      <c r="T171" s="64"/>
      <c r="U171" s="64"/>
      <c r="V171" s="64"/>
      <c r="W171" s="64"/>
      <c r="X171" s="64"/>
      <c r="Y171" s="64"/>
      <c r="Z171" s="64"/>
    </row>
    <row r="172">
      <c r="A172" s="72" t="s">
        <v>800</v>
      </c>
      <c r="B172" s="72" t="s">
        <v>1410</v>
      </c>
      <c r="C172" s="72" t="s">
        <v>1411</v>
      </c>
      <c r="D172" s="72" t="s">
        <v>1412</v>
      </c>
      <c r="E172" s="72" t="s">
        <v>1413</v>
      </c>
      <c r="F172" s="64"/>
      <c r="G172" s="108" t="s">
        <v>3</v>
      </c>
      <c r="H172" s="64"/>
      <c r="I172" s="64"/>
      <c r="J172" s="64"/>
      <c r="K172" s="64"/>
      <c r="L172" s="64"/>
      <c r="M172" s="64"/>
      <c r="N172" s="64"/>
      <c r="O172" s="64"/>
      <c r="P172" s="64"/>
      <c r="Q172" s="64"/>
      <c r="R172" s="64"/>
      <c r="S172" s="64"/>
      <c r="T172" s="64"/>
      <c r="U172" s="64"/>
      <c r="V172" s="64"/>
      <c r="W172" s="64"/>
      <c r="X172" s="64"/>
      <c r="Y172" s="64"/>
      <c r="Z172" s="64"/>
    </row>
    <row r="173">
      <c r="A173" s="72" t="s">
        <v>805</v>
      </c>
      <c r="B173" s="72" t="s">
        <v>1414</v>
      </c>
      <c r="C173" s="72" t="s">
        <v>1411</v>
      </c>
      <c r="D173" s="72" t="s">
        <v>1283</v>
      </c>
      <c r="E173" s="72" t="s">
        <v>1415</v>
      </c>
      <c r="F173" s="64"/>
      <c r="G173" s="108" t="s">
        <v>3</v>
      </c>
      <c r="H173" s="64"/>
      <c r="I173" s="64"/>
      <c r="J173" s="64"/>
      <c r="K173" s="64"/>
      <c r="L173" s="64"/>
      <c r="M173" s="64"/>
      <c r="N173" s="64"/>
      <c r="O173" s="64"/>
      <c r="P173" s="64"/>
      <c r="Q173" s="64"/>
      <c r="R173" s="64"/>
      <c r="S173" s="64"/>
      <c r="T173" s="64"/>
      <c r="U173" s="64"/>
      <c r="V173" s="64"/>
      <c r="W173" s="64"/>
      <c r="X173" s="64"/>
      <c r="Y173" s="64"/>
      <c r="Z173" s="64"/>
    </row>
    <row r="174">
      <c r="A174" s="72" t="s">
        <v>808</v>
      </c>
      <c r="B174" s="72" t="s">
        <v>1288</v>
      </c>
      <c r="C174" s="72" t="s">
        <v>1411</v>
      </c>
      <c r="D174" s="72" t="s">
        <v>1416</v>
      </c>
      <c r="E174" s="72" t="s">
        <v>1303</v>
      </c>
      <c r="F174" s="109" t="s">
        <v>1417</v>
      </c>
      <c r="G174" s="108" t="s">
        <v>3</v>
      </c>
      <c r="H174" s="64"/>
      <c r="I174" s="64"/>
      <c r="J174" s="64"/>
      <c r="K174" s="64"/>
      <c r="L174" s="64"/>
      <c r="M174" s="64"/>
      <c r="N174" s="64"/>
      <c r="O174" s="64"/>
      <c r="P174" s="64"/>
      <c r="Q174" s="64"/>
      <c r="R174" s="64"/>
      <c r="S174" s="64"/>
      <c r="T174" s="64"/>
      <c r="U174" s="64"/>
      <c r="V174" s="64"/>
      <c r="W174" s="64"/>
      <c r="X174" s="64"/>
      <c r="Y174" s="64"/>
      <c r="Z174" s="64"/>
    </row>
    <row r="175">
      <c r="A175" s="72" t="s">
        <v>812</v>
      </c>
      <c r="B175" s="72" t="s">
        <v>1418</v>
      </c>
      <c r="C175" s="72" t="s">
        <v>1411</v>
      </c>
      <c r="D175" s="72" t="s">
        <v>1419</v>
      </c>
      <c r="E175" s="72" t="s">
        <v>1303</v>
      </c>
      <c r="F175" s="109" t="s">
        <v>1417</v>
      </c>
      <c r="G175" s="108" t="s">
        <v>3</v>
      </c>
      <c r="H175" s="64"/>
      <c r="I175" s="64"/>
      <c r="J175" s="64"/>
      <c r="K175" s="64"/>
      <c r="L175" s="64"/>
      <c r="M175" s="64"/>
      <c r="N175" s="64"/>
      <c r="O175" s="64"/>
      <c r="P175" s="64"/>
      <c r="Q175" s="64"/>
      <c r="R175" s="64"/>
      <c r="S175" s="64"/>
      <c r="T175" s="64"/>
      <c r="U175" s="64"/>
      <c r="V175" s="64"/>
      <c r="W175" s="64"/>
      <c r="X175" s="64"/>
      <c r="Y175" s="64"/>
      <c r="Z175" s="64"/>
    </row>
    <row r="176">
      <c r="A176" s="72" t="s">
        <v>817</v>
      </c>
      <c r="B176" s="72" t="s">
        <v>1304</v>
      </c>
      <c r="C176" s="72" t="s">
        <v>1411</v>
      </c>
      <c r="D176" s="72" t="s">
        <v>1420</v>
      </c>
      <c r="E176" s="72" t="s">
        <v>1303</v>
      </c>
      <c r="F176" s="64"/>
      <c r="G176" s="108" t="s">
        <v>3</v>
      </c>
      <c r="H176" s="64"/>
      <c r="I176" s="64"/>
      <c r="J176" s="64"/>
      <c r="K176" s="64"/>
      <c r="L176" s="64"/>
      <c r="M176" s="64"/>
      <c r="N176" s="64"/>
      <c r="O176" s="64"/>
      <c r="P176" s="64"/>
      <c r="Q176" s="64"/>
      <c r="R176" s="64"/>
      <c r="S176" s="64"/>
      <c r="T176" s="64"/>
      <c r="U176" s="64"/>
      <c r="V176" s="64"/>
      <c r="W176" s="64"/>
      <c r="X176" s="64"/>
      <c r="Y176" s="64"/>
      <c r="Z176" s="64"/>
    </row>
    <row r="177">
      <c r="A177" s="72" t="s">
        <v>826</v>
      </c>
      <c r="B177" s="72" t="s">
        <v>1301</v>
      </c>
      <c r="C177" s="72" t="s">
        <v>1411</v>
      </c>
      <c r="D177" s="72" t="s">
        <v>1423</v>
      </c>
      <c r="E177" s="72" t="s">
        <v>1303</v>
      </c>
      <c r="F177" s="64"/>
      <c r="G177" s="108" t="s">
        <v>3</v>
      </c>
      <c r="H177" s="64"/>
      <c r="I177" s="64"/>
      <c r="J177" s="64"/>
      <c r="K177" s="64"/>
      <c r="L177" s="64"/>
      <c r="M177" s="64"/>
      <c r="N177" s="64"/>
      <c r="O177" s="64"/>
      <c r="P177" s="64"/>
      <c r="Q177" s="64"/>
      <c r="R177" s="64"/>
      <c r="S177" s="64"/>
      <c r="T177" s="64"/>
      <c r="U177" s="64"/>
      <c r="V177" s="64"/>
      <c r="W177" s="64"/>
      <c r="X177" s="64"/>
      <c r="Y177" s="64"/>
      <c r="Z177" s="64"/>
    </row>
    <row r="178">
      <c r="A178" s="72" t="s">
        <v>829</v>
      </c>
      <c r="B178" s="72" t="s">
        <v>1315</v>
      </c>
      <c r="C178" s="72" t="s">
        <v>1411</v>
      </c>
      <c r="D178" s="72" t="s">
        <v>1424</v>
      </c>
      <c r="E178" s="72" t="s">
        <v>1303</v>
      </c>
      <c r="F178" s="64"/>
      <c r="G178" s="108" t="s">
        <v>3</v>
      </c>
      <c r="H178" s="64"/>
      <c r="I178" s="64"/>
      <c r="J178" s="64"/>
      <c r="K178" s="64"/>
      <c r="L178" s="64"/>
      <c r="M178" s="64"/>
      <c r="N178" s="64"/>
      <c r="O178" s="64"/>
      <c r="P178" s="64"/>
      <c r="Q178" s="64"/>
      <c r="R178" s="64"/>
      <c r="S178" s="64"/>
      <c r="T178" s="64"/>
      <c r="U178" s="64"/>
      <c r="V178" s="64"/>
      <c r="W178" s="64"/>
      <c r="X178" s="64"/>
      <c r="Y178" s="64"/>
      <c r="Z178" s="64"/>
    </row>
    <row r="179">
      <c r="A179" s="72" t="s">
        <v>834</v>
      </c>
      <c r="B179" s="72" t="s">
        <v>1425</v>
      </c>
      <c r="C179" s="72" t="s">
        <v>1411</v>
      </c>
      <c r="D179" s="72" t="s">
        <v>1318</v>
      </c>
      <c r="E179" s="72" t="s">
        <v>1303</v>
      </c>
      <c r="F179" s="64"/>
      <c r="G179" s="108" t="s">
        <v>3</v>
      </c>
      <c r="H179" s="64"/>
      <c r="I179" s="64"/>
      <c r="J179" s="64"/>
      <c r="K179" s="64"/>
      <c r="L179" s="64"/>
      <c r="M179" s="64"/>
      <c r="N179" s="64"/>
      <c r="O179" s="64"/>
      <c r="P179" s="64"/>
      <c r="Q179" s="64"/>
      <c r="R179" s="64"/>
      <c r="S179" s="64"/>
      <c r="T179" s="64"/>
      <c r="U179" s="64"/>
      <c r="V179" s="64"/>
      <c r="W179" s="64"/>
      <c r="X179" s="64"/>
      <c r="Y179" s="64"/>
      <c r="Z179" s="64"/>
    </row>
    <row r="180">
      <c r="A180" s="72" t="s">
        <v>839</v>
      </c>
      <c r="B180" s="72" t="s">
        <v>1323</v>
      </c>
      <c r="C180" s="72" t="s">
        <v>1411</v>
      </c>
      <c r="D180" s="72" t="s">
        <v>1426</v>
      </c>
      <c r="E180" s="72" t="s">
        <v>1303</v>
      </c>
      <c r="F180" s="64"/>
      <c r="G180" s="108" t="s">
        <v>3</v>
      </c>
      <c r="H180" s="64"/>
      <c r="I180" s="64"/>
      <c r="J180" s="64"/>
      <c r="K180" s="64"/>
      <c r="L180" s="64"/>
      <c r="M180" s="64"/>
      <c r="N180" s="64"/>
      <c r="O180" s="64"/>
      <c r="P180" s="64"/>
      <c r="Q180" s="64"/>
      <c r="R180" s="64"/>
      <c r="S180" s="64"/>
      <c r="T180" s="64"/>
      <c r="U180" s="64"/>
      <c r="V180" s="64"/>
      <c r="W180" s="64"/>
      <c r="X180" s="64"/>
      <c r="Y180" s="64"/>
      <c r="Z180" s="64"/>
    </row>
    <row r="181">
      <c r="A181" s="72" t="s">
        <v>842</v>
      </c>
      <c r="B181" s="72" t="s">
        <v>1328</v>
      </c>
      <c r="C181" s="72" t="s">
        <v>1411</v>
      </c>
      <c r="D181" s="72" t="s">
        <v>1427</v>
      </c>
      <c r="E181" s="72" t="s">
        <v>1303</v>
      </c>
      <c r="F181" s="64"/>
      <c r="G181" s="108" t="s">
        <v>3</v>
      </c>
      <c r="H181" s="64"/>
      <c r="I181" s="64"/>
      <c r="J181" s="64"/>
      <c r="K181" s="64"/>
      <c r="L181" s="64"/>
      <c r="M181" s="64"/>
      <c r="N181" s="64"/>
      <c r="O181" s="64"/>
      <c r="P181" s="64"/>
      <c r="Q181" s="64"/>
      <c r="R181" s="64"/>
      <c r="S181" s="64"/>
      <c r="T181" s="64"/>
      <c r="U181" s="64"/>
      <c r="V181" s="64"/>
      <c r="W181" s="64"/>
      <c r="X181" s="64"/>
      <c r="Y181" s="64"/>
      <c r="Z181" s="64"/>
    </row>
    <row r="182">
      <c r="A182" s="72" t="s">
        <v>847</v>
      </c>
      <c r="B182" s="72" t="s">
        <v>1336</v>
      </c>
      <c r="C182" s="72" t="s">
        <v>1411</v>
      </c>
      <c r="D182" s="72" t="s">
        <v>1337</v>
      </c>
      <c r="E182" s="72" t="s">
        <v>1303</v>
      </c>
      <c r="F182" s="64"/>
      <c r="G182" s="108" t="s">
        <v>3</v>
      </c>
      <c r="H182" s="64"/>
      <c r="I182" s="64"/>
      <c r="J182" s="64"/>
      <c r="K182" s="64"/>
      <c r="L182" s="64"/>
      <c r="M182" s="64"/>
      <c r="N182" s="64"/>
      <c r="O182" s="64"/>
      <c r="P182" s="64"/>
      <c r="Q182" s="64"/>
      <c r="R182" s="64"/>
      <c r="S182" s="64"/>
      <c r="T182" s="64"/>
      <c r="U182" s="64"/>
      <c r="V182" s="64"/>
      <c r="W182" s="64"/>
      <c r="X182" s="64"/>
      <c r="Y182" s="64"/>
      <c r="Z182" s="64"/>
    </row>
    <row r="183">
      <c r="A183" s="72" t="s">
        <v>851</v>
      </c>
      <c r="B183" s="72" t="s">
        <v>1338</v>
      </c>
      <c r="C183" s="72" t="s">
        <v>1411</v>
      </c>
      <c r="D183" s="72" t="s">
        <v>1428</v>
      </c>
      <c r="E183" s="72" t="s">
        <v>1303</v>
      </c>
      <c r="F183" s="64"/>
      <c r="G183" s="108" t="s">
        <v>3</v>
      </c>
      <c r="H183" s="64"/>
      <c r="I183" s="64"/>
      <c r="J183" s="64"/>
      <c r="K183" s="64"/>
      <c r="L183" s="64"/>
      <c r="M183" s="64"/>
      <c r="N183" s="64"/>
      <c r="O183" s="64"/>
      <c r="P183" s="64"/>
      <c r="Q183" s="64"/>
      <c r="R183" s="64"/>
      <c r="S183" s="64"/>
      <c r="T183" s="64"/>
      <c r="U183" s="64"/>
      <c r="V183" s="64"/>
      <c r="W183" s="64"/>
      <c r="X183" s="64"/>
      <c r="Y183" s="64"/>
      <c r="Z183" s="64"/>
    </row>
    <row r="184">
      <c r="A184" s="72" t="s">
        <v>855</v>
      </c>
      <c r="B184" s="72" t="s">
        <v>1343</v>
      </c>
      <c r="C184" s="72" t="s">
        <v>1411</v>
      </c>
      <c r="D184" s="72" t="s">
        <v>1429</v>
      </c>
      <c r="E184" s="72" t="s">
        <v>1303</v>
      </c>
      <c r="F184" s="64"/>
      <c r="G184" s="108" t="s">
        <v>3</v>
      </c>
      <c r="H184" s="64"/>
      <c r="I184" s="64"/>
      <c r="J184" s="64"/>
      <c r="K184" s="64"/>
      <c r="L184" s="64"/>
      <c r="M184" s="64"/>
      <c r="N184" s="64"/>
      <c r="O184" s="64"/>
      <c r="P184" s="64"/>
      <c r="Q184" s="64"/>
      <c r="R184" s="64"/>
      <c r="S184" s="64"/>
      <c r="T184" s="64"/>
      <c r="U184" s="64"/>
      <c r="V184" s="64"/>
      <c r="W184" s="64"/>
      <c r="X184" s="64"/>
      <c r="Y184" s="64"/>
      <c r="Z184" s="64"/>
    </row>
    <row r="185">
      <c r="A185" s="72" t="s">
        <v>860</v>
      </c>
      <c r="B185" s="72" t="s">
        <v>1430</v>
      </c>
      <c r="C185" s="72" t="s">
        <v>1411</v>
      </c>
      <c r="D185" s="72" t="s">
        <v>1431</v>
      </c>
      <c r="E185" s="72" t="s">
        <v>1303</v>
      </c>
      <c r="F185" s="64"/>
      <c r="G185" s="108" t="s">
        <v>3</v>
      </c>
      <c r="H185" s="64"/>
      <c r="I185" s="64"/>
      <c r="J185" s="64"/>
      <c r="K185" s="64"/>
      <c r="L185" s="64"/>
      <c r="M185" s="64"/>
      <c r="N185" s="64"/>
      <c r="O185" s="64"/>
      <c r="P185" s="64"/>
      <c r="Q185" s="64"/>
      <c r="R185" s="64"/>
      <c r="S185" s="64"/>
      <c r="T185" s="64"/>
      <c r="U185" s="64"/>
      <c r="V185" s="64"/>
      <c r="W185" s="64"/>
      <c r="X185" s="64"/>
      <c r="Y185" s="64"/>
      <c r="Z185" s="64"/>
    </row>
    <row r="186">
      <c r="A186" s="72" t="s">
        <v>864</v>
      </c>
      <c r="B186" s="72" t="s">
        <v>1432</v>
      </c>
      <c r="C186" s="72" t="s">
        <v>1411</v>
      </c>
      <c r="D186" s="72" t="s">
        <v>1433</v>
      </c>
      <c r="E186" s="72" t="s">
        <v>1434</v>
      </c>
      <c r="F186" s="64"/>
      <c r="G186" s="108" t="s">
        <v>3</v>
      </c>
      <c r="H186" s="64"/>
      <c r="I186" s="64"/>
      <c r="J186" s="64"/>
      <c r="K186" s="64"/>
      <c r="L186" s="64"/>
      <c r="M186" s="64"/>
      <c r="N186" s="64"/>
      <c r="O186" s="64"/>
      <c r="P186" s="64"/>
      <c r="Q186" s="64"/>
      <c r="R186" s="64"/>
      <c r="S186" s="64"/>
      <c r="T186" s="64"/>
      <c r="U186" s="64"/>
      <c r="V186" s="64"/>
      <c r="W186" s="64"/>
      <c r="X186" s="64"/>
      <c r="Y186" s="64"/>
      <c r="Z186" s="64"/>
    </row>
    <row r="187">
      <c r="A187" s="72" t="s">
        <v>869</v>
      </c>
      <c r="B187" s="72" t="s">
        <v>1435</v>
      </c>
      <c r="C187" s="72" t="s">
        <v>1411</v>
      </c>
      <c r="D187" s="72" t="s">
        <v>1362</v>
      </c>
      <c r="E187" s="72" t="s">
        <v>1363</v>
      </c>
      <c r="F187" s="64"/>
      <c r="G187" s="108" t="s">
        <v>3</v>
      </c>
      <c r="H187" s="64"/>
      <c r="I187" s="64"/>
      <c r="J187" s="64"/>
      <c r="K187" s="64"/>
      <c r="L187" s="64"/>
      <c r="M187" s="64"/>
      <c r="N187" s="64"/>
      <c r="O187" s="64"/>
      <c r="P187" s="64"/>
      <c r="Q187" s="64"/>
      <c r="R187" s="64"/>
      <c r="S187" s="64"/>
      <c r="T187" s="64"/>
      <c r="U187" s="64"/>
      <c r="V187" s="64"/>
      <c r="W187" s="64"/>
      <c r="X187" s="64"/>
      <c r="Y187" s="64"/>
      <c r="Z187" s="64"/>
    </row>
    <row r="188">
      <c r="A188" s="72" t="s">
        <v>873</v>
      </c>
      <c r="B188" s="72" t="s">
        <v>1436</v>
      </c>
      <c r="C188" s="72" t="s">
        <v>1437</v>
      </c>
      <c r="D188" s="72" t="s">
        <v>1438</v>
      </c>
      <c r="E188" s="72" t="s">
        <v>1439</v>
      </c>
      <c r="F188" s="64"/>
      <c r="G188" s="108" t="s">
        <v>3</v>
      </c>
      <c r="H188" s="64"/>
      <c r="I188" s="64"/>
      <c r="J188" s="64"/>
      <c r="K188" s="64"/>
      <c r="L188" s="64"/>
      <c r="M188" s="64"/>
      <c r="N188" s="64"/>
      <c r="O188" s="64"/>
      <c r="P188" s="64"/>
      <c r="Q188" s="64"/>
      <c r="R188" s="64"/>
      <c r="S188" s="64"/>
      <c r="T188" s="64"/>
      <c r="U188" s="64"/>
      <c r="V188" s="64"/>
      <c r="W188" s="64"/>
      <c r="X188" s="64"/>
      <c r="Y188" s="64"/>
      <c r="Z188" s="64"/>
    </row>
    <row r="189">
      <c r="A189" s="72" t="s">
        <v>877</v>
      </c>
      <c r="B189" s="72" t="s">
        <v>1440</v>
      </c>
      <c r="C189" s="72" t="s">
        <v>1441</v>
      </c>
      <c r="D189" s="72" t="s">
        <v>1442</v>
      </c>
      <c r="E189" s="72" t="s">
        <v>1443</v>
      </c>
      <c r="F189" s="64"/>
      <c r="G189" s="108" t="s">
        <v>3</v>
      </c>
      <c r="H189" s="64"/>
      <c r="I189" s="64"/>
      <c r="J189" s="64"/>
      <c r="K189" s="64"/>
      <c r="L189" s="64"/>
      <c r="M189" s="64"/>
      <c r="N189" s="64"/>
      <c r="O189" s="64"/>
      <c r="P189" s="64"/>
      <c r="Q189" s="64"/>
      <c r="R189" s="64"/>
      <c r="S189" s="64"/>
      <c r="T189" s="64"/>
      <c r="U189" s="64"/>
      <c r="V189" s="64"/>
      <c r="W189" s="64"/>
      <c r="X189" s="64"/>
      <c r="Y189" s="64"/>
      <c r="Z189" s="64"/>
    </row>
    <row r="190">
      <c r="A190" s="104"/>
      <c r="B190" s="105" t="s">
        <v>1444</v>
      </c>
      <c r="C190" s="104"/>
      <c r="D190" s="104"/>
      <c r="E190" s="104"/>
      <c r="F190" s="69"/>
      <c r="G190" s="69"/>
      <c r="H190" s="64"/>
      <c r="I190" s="64"/>
      <c r="J190" s="64"/>
      <c r="K190" s="64"/>
      <c r="L190" s="64"/>
      <c r="M190" s="64"/>
      <c r="N190" s="64"/>
      <c r="O190" s="64"/>
      <c r="P190" s="64"/>
      <c r="Q190" s="64"/>
      <c r="R190" s="64"/>
      <c r="S190" s="64"/>
      <c r="T190" s="64"/>
      <c r="U190" s="64"/>
      <c r="V190" s="64"/>
      <c r="W190" s="64"/>
      <c r="X190" s="64"/>
      <c r="Y190" s="64"/>
      <c r="Z190" s="64"/>
    </row>
    <row r="191">
      <c r="A191" s="72" t="s">
        <v>882</v>
      </c>
      <c r="B191" s="72" t="s">
        <v>1445</v>
      </c>
      <c r="C191" s="72" t="s">
        <v>1278</v>
      </c>
      <c r="D191" s="72" t="s">
        <v>1446</v>
      </c>
      <c r="E191" s="72" t="s">
        <v>1409</v>
      </c>
      <c r="F191" s="64"/>
      <c r="G191" s="108" t="s">
        <v>3</v>
      </c>
      <c r="H191" s="64"/>
      <c r="I191" s="64"/>
      <c r="J191" s="64"/>
      <c r="K191" s="64"/>
      <c r="L191" s="64"/>
      <c r="M191" s="64"/>
      <c r="N191" s="64"/>
      <c r="O191" s="64"/>
      <c r="P191" s="64"/>
      <c r="Q191" s="64"/>
      <c r="R191" s="64"/>
      <c r="S191" s="64"/>
      <c r="T191" s="64"/>
      <c r="U191" s="64"/>
      <c r="V191" s="64"/>
      <c r="W191" s="64"/>
      <c r="X191" s="64"/>
      <c r="Y191" s="64"/>
      <c r="Z191" s="64"/>
    </row>
    <row r="192">
      <c r="A192" s="72" t="s">
        <v>885</v>
      </c>
      <c r="B192" s="72" t="s">
        <v>1447</v>
      </c>
      <c r="C192" s="72" t="s">
        <v>1448</v>
      </c>
      <c r="D192" s="72" t="s">
        <v>1412</v>
      </c>
      <c r="E192" s="72" t="s">
        <v>1413</v>
      </c>
      <c r="F192" s="64"/>
      <c r="G192" s="108" t="s">
        <v>3</v>
      </c>
      <c r="H192" s="64"/>
      <c r="I192" s="64"/>
      <c r="J192" s="64"/>
      <c r="K192" s="64"/>
      <c r="L192" s="64"/>
      <c r="M192" s="64"/>
      <c r="N192" s="64"/>
      <c r="O192" s="64"/>
      <c r="P192" s="64"/>
      <c r="Q192" s="64"/>
      <c r="R192" s="64"/>
      <c r="S192" s="64"/>
      <c r="T192" s="64"/>
      <c r="U192" s="64"/>
      <c r="V192" s="64"/>
      <c r="W192" s="64"/>
      <c r="X192" s="64"/>
      <c r="Y192" s="64"/>
      <c r="Z192" s="64"/>
    </row>
    <row r="193">
      <c r="A193" s="72" t="s">
        <v>889</v>
      </c>
      <c r="B193" s="72" t="s">
        <v>1379</v>
      </c>
      <c r="C193" s="72" t="s">
        <v>1448</v>
      </c>
      <c r="D193" s="72" t="s">
        <v>1449</v>
      </c>
      <c r="E193" s="72" t="s">
        <v>1303</v>
      </c>
      <c r="F193" s="64"/>
      <c r="G193" s="108" t="s">
        <v>3</v>
      </c>
      <c r="H193" s="64"/>
      <c r="I193" s="64"/>
      <c r="J193" s="64"/>
      <c r="K193" s="64"/>
      <c r="L193" s="64"/>
      <c r="M193" s="64"/>
      <c r="N193" s="64"/>
      <c r="O193" s="64"/>
      <c r="P193" s="64"/>
      <c r="Q193" s="64"/>
      <c r="R193" s="64"/>
      <c r="S193" s="64"/>
      <c r="T193" s="64"/>
      <c r="U193" s="64"/>
      <c r="V193" s="64"/>
      <c r="W193" s="64"/>
      <c r="X193" s="64"/>
      <c r="Y193" s="64"/>
      <c r="Z193" s="64"/>
    </row>
    <row r="194">
      <c r="A194" s="72" t="s">
        <v>893</v>
      </c>
      <c r="B194" s="72" t="s">
        <v>1450</v>
      </c>
      <c r="C194" s="72" t="s">
        <v>1448</v>
      </c>
      <c r="D194" s="72" t="s">
        <v>1451</v>
      </c>
      <c r="E194" s="72" t="s">
        <v>1303</v>
      </c>
      <c r="F194" s="64"/>
      <c r="G194" s="108" t="s">
        <v>3</v>
      </c>
      <c r="H194" s="64"/>
      <c r="I194" s="64"/>
      <c r="J194" s="64"/>
      <c r="K194" s="64"/>
      <c r="L194" s="64"/>
      <c r="M194" s="64"/>
      <c r="N194" s="64"/>
      <c r="O194" s="64"/>
      <c r="P194" s="64"/>
      <c r="Q194" s="64"/>
      <c r="R194" s="64"/>
      <c r="S194" s="64"/>
      <c r="T194" s="64"/>
      <c r="U194" s="64"/>
      <c r="V194" s="64"/>
      <c r="W194" s="64"/>
      <c r="X194" s="64"/>
      <c r="Y194" s="64"/>
      <c r="Z194" s="64"/>
    </row>
    <row r="195">
      <c r="A195" s="72" t="s">
        <v>896</v>
      </c>
      <c r="B195" s="72" t="s">
        <v>1384</v>
      </c>
      <c r="C195" s="72" t="s">
        <v>1448</v>
      </c>
      <c r="D195" s="72" t="s">
        <v>1452</v>
      </c>
      <c r="E195" s="72" t="s">
        <v>1303</v>
      </c>
      <c r="F195" s="64"/>
      <c r="G195" s="108" t="s">
        <v>3</v>
      </c>
      <c r="H195" s="64"/>
      <c r="I195" s="64"/>
      <c r="J195" s="64"/>
      <c r="K195" s="64"/>
      <c r="L195" s="64"/>
      <c r="M195" s="64"/>
      <c r="N195" s="64"/>
      <c r="O195" s="64"/>
      <c r="P195" s="64"/>
      <c r="Q195" s="64"/>
      <c r="R195" s="64"/>
      <c r="S195" s="64"/>
      <c r="T195" s="64"/>
      <c r="U195" s="64"/>
      <c r="V195" s="64"/>
      <c r="W195" s="64"/>
      <c r="X195" s="64"/>
      <c r="Y195" s="64"/>
      <c r="Z195" s="64"/>
    </row>
    <row r="196">
      <c r="A196" s="72" t="s">
        <v>900</v>
      </c>
      <c r="B196" s="72" t="s">
        <v>1388</v>
      </c>
      <c r="C196" s="72" t="s">
        <v>1448</v>
      </c>
      <c r="D196" s="72" t="s">
        <v>1453</v>
      </c>
      <c r="E196" s="72" t="s">
        <v>1303</v>
      </c>
      <c r="F196" s="64"/>
      <c r="G196" s="108" t="s">
        <v>3</v>
      </c>
      <c r="H196" s="64"/>
      <c r="I196" s="64"/>
      <c r="J196" s="64"/>
      <c r="K196" s="64"/>
      <c r="L196" s="64"/>
      <c r="M196" s="64"/>
      <c r="N196" s="64"/>
      <c r="O196" s="64"/>
      <c r="P196" s="64"/>
      <c r="Q196" s="64"/>
      <c r="R196" s="64"/>
      <c r="S196" s="64"/>
      <c r="T196" s="64"/>
      <c r="U196" s="64"/>
      <c r="V196" s="64"/>
      <c r="W196" s="64"/>
      <c r="X196" s="64"/>
      <c r="Y196" s="64"/>
      <c r="Z196" s="64"/>
    </row>
    <row r="197">
      <c r="A197" s="72" t="s">
        <v>905</v>
      </c>
      <c r="B197" s="72" t="s">
        <v>1454</v>
      </c>
      <c r="C197" s="72" t="s">
        <v>1448</v>
      </c>
      <c r="D197" s="72" t="s">
        <v>1433</v>
      </c>
      <c r="E197" s="72" t="s">
        <v>1434</v>
      </c>
      <c r="F197" s="64"/>
      <c r="G197" s="108" t="s">
        <v>3</v>
      </c>
      <c r="H197" s="64"/>
      <c r="I197" s="64"/>
      <c r="J197" s="64"/>
      <c r="K197" s="64"/>
      <c r="L197" s="64"/>
      <c r="M197" s="64"/>
      <c r="N197" s="64"/>
      <c r="O197" s="64"/>
      <c r="P197" s="64"/>
      <c r="Q197" s="64"/>
      <c r="R197" s="64"/>
      <c r="S197" s="64"/>
      <c r="T197" s="64"/>
      <c r="U197" s="64"/>
      <c r="V197" s="64"/>
      <c r="W197" s="64"/>
      <c r="X197" s="64"/>
      <c r="Y197" s="64"/>
      <c r="Z197" s="64"/>
    </row>
    <row r="198">
      <c r="A198" s="72" t="s">
        <v>908</v>
      </c>
      <c r="B198" s="72" t="s">
        <v>1435</v>
      </c>
      <c r="C198" s="72" t="s">
        <v>1448</v>
      </c>
      <c r="D198" s="72" t="s">
        <v>1362</v>
      </c>
      <c r="E198" s="72" t="s">
        <v>1363</v>
      </c>
      <c r="F198" s="64"/>
      <c r="G198" s="108" t="s">
        <v>3</v>
      </c>
      <c r="H198" s="64"/>
      <c r="I198" s="64"/>
      <c r="J198" s="64"/>
      <c r="K198" s="64"/>
      <c r="L198" s="64"/>
      <c r="M198" s="64"/>
      <c r="N198" s="64"/>
      <c r="O198" s="64"/>
      <c r="P198" s="64"/>
      <c r="Q198" s="64"/>
      <c r="R198" s="64"/>
      <c r="S198" s="64"/>
      <c r="T198" s="64"/>
      <c r="U198" s="64"/>
      <c r="V198" s="64"/>
      <c r="W198" s="64"/>
      <c r="X198" s="64"/>
      <c r="Y198" s="64"/>
      <c r="Z198" s="64"/>
    </row>
    <row r="199">
      <c r="A199" s="72" t="s">
        <v>917</v>
      </c>
      <c r="B199" s="72" t="s">
        <v>1455</v>
      </c>
      <c r="C199" s="72" t="s">
        <v>1448</v>
      </c>
      <c r="D199" s="72" t="s">
        <v>1456</v>
      </c>
      <c r="E199" s="72" t="s">
        <v>1356</v>
      </c>
      <c r="F199" s="64"/>
      <c r="G199" s="108" t="s">
        <v>3</v>
      </c>
      <c r="H199" s="64"/>
      <c r="I199" s="64"/>
      <c r="J199" s="64"/>
      <c r="K199" s="64"/>
      <c r="L199" s="64"/>
      <c r="M199" s="64"/>
      <c r="N199" s="64"/>
      <c r="O199" s="64"/>
      <c r="P199" s="64"/>
      <c r="Q199" s="64"/>
      <c r="R199" s="64"/>
      <c r="S199" s="64"/>
      <c r="T199" s="64"/>
      <c r="U199" s="64"/>
      <c r="V199" s="64"/>
      <c r="W199" s="64"/>
      <c r="X199" s="64"/>
      <c r="Y199" s="64"/>
      <c r="Z199" s="64"/>
    </row>
    <row r="200">
      <c r="A200" s="72" t="s">
        <v>921</v>
      </c>
      <c r="B200" s="72" t="s">
        <v>1457</v>
      </c>
      <c r="C200" s="72" t="s">
        <v>1448</v>
      </c>
      <c r="D200" s="72" t="s">
        <v>1458</v>
      </c>
      <c r="E200" s="72" t="s">
        <v>1356</v>
      </c>
      <c r="F200" s="64"/>
      <c r="G200" s="108" t="s">
        <v>3</v>
      </c>
      <c r="H200" s="64"/>
      <c r="I200" s="64"/>
      <c r="J200" s="64"/>
      <c r="K200" s="64"/>
      <c r="L200" s="64"/>
      <c r="M200" s="64"/>
      <c r="N200" s="64"/>
      <c r="O200" s="64"/>
      <c r="P200" s="64"/>
      <c r="Q200" s="64"/>
      <c r="R200" s="64"/>
      <c r="S200" s="64"/>
      <c r="T200" s="64"/>
      <c r="U200" s="64"/>
      <c r="V200" s="64"/>
      <c r="W200" s="64"/>
      <c r="X200" s="64"/>
      <c r="Y200" s="64"/>
      <c r="Z200" s="64"/>
    </row>
    <row r="201">
      <c r="A201" s="72" t="s">
        <v>925</v>
      </c>
      <c r="B201" s="72" t="s">
        <v>1440</v>
      </c>
      <c r="C201" s="72" t="s">
        <v>1459</v>
      </c>
      <c r="D201" s="72" t="s">
        <v>1442</v>
      </c>
      <c r="E201" s="72" t="s">
        <v>1443</v>
      </c>
      <c r="F201" s="64"/>
      <c r="G201" s="108" t="s">
        <v>3</v>
      </c>
      <c r="H201" s="64"/>
      <c r="I201" s="64"/>
      <c r="J201" s="64"/>
      <c r="K201" s="64"/>
      <c r="L201" s="64"/>
      <c r="M201" s="64"/>
      <c r="N201" s="64"/>
      <c r="O201" s="64"/>
      <c r="P201" s="64"/>
      <c r="Q201" s="64"/>
      <c r="R201" s="64"/>
      <c r="S201" s="64"/>
      <c r="T201" s="64"/>
      <c r="U201" s="64"/>
      <c r="V201" s="64"/>
      <c r="W201" s="64"/>
      <c r="X201" s="64"/>
      <c r="Y201" s="64"/>
      <c r="Z201" s="64"/>
    </row>
    <row r="202">
      <c r="A202" s="72" t="s">
        <v>933</v>
      </c>
      <c r="B202" s="72" t="s">
        <v>1460</v>
      </c>
      <c r="C202" s="72" t="s">
        <v>1448</v>
      </c>
      <c r="D202" s="72" t="s">
        <v>1461</v>
      </c>
      <c r="E202" s="72" t="s">
        <v>1404</v>
      </c>
      <c r="F202" s="64"/>
      <c r="G202" s="108" t="s">
        <v>3</v>
      </c>
      <c r="H202" s="64"/>
      <c r="I202" s="64"/>
      <c r="J202" s="64"/>
      <c r="K202" s="64"/>
      <c r="L202" s="64"/>
      <c r="M202" s="64"/>
      <c r="N202" s="64"/>
      <c r="O202" s="64"/>
      <c r="P202" s="64"/>
      <c r="Q202" s="64"/>
      <c r="R202" s="64"/>
      <c r="S202" s="64"/>
      <c r="T202" s="64"/>
      <c r="U202" s="64"/>
      <c r="V202" s="64"/>
      <c r="W202" s="64"/>
      <c r="X202" s="64"/>
      <c r="Y202" s="64"/>
      <c r="Z202" s="64"/>
    </row>
    <row r="203">
      <c r="A203" s="72" t="s">
        <v>942</v>
      </c>
      <c r="B203" s="72" t="s">
        <v>1462</v>
      </c>
      <c r="C203" s="72" t="s">
        <v>1448</v>
      </c>
      <c r="D203" s="72" t="s">
        <v>1463</v>
      </c>
      <c r="E203" s="75" t="s">
        <v>1464</v>
      </c>
      <c r="F203" s="64"/>
      <c r="G203" s="108" t="s">
        <v>3</v>
      </c>
      <c r="H203" s="64"/>
      <c r="I203" s="64"/>
      <c r="J203" s="64"/>
      <c r="K203" s="64"/>
      <c r="L203" s="64"/>
      <c r="M203" s="64"/>
      <c r="N203" s="64"/>
      <c r="O203" s="64"/>
      <c r="P203" s="64"/>
      <c r="Q203" s="64"/>
      <c r="R203" s="64"/>
      <c r="S203" s="64"/>
      <c r="T203" s="64"/>
      <c r="U203" s="64"/>
      <c r="V203" s="64"/>
      <c r="W203" s="64"/>
      <c r="X203" s="64"/>
      <c r="Y203" s="64"/>
      <c r="Z203" s="64"/>
    </row>
    <row r="204">
      <c r="A204" s="104"/>
      <c r="B204" s="110" t="s">
        <v>1713</v>
      </c>
      <c r="C204" s="104"/>
      <c r="D204" s="104"/>
      <c r="E204" s="104"/>
      <c r="F204" s="69"/>
      <c r="G204" s="69"/>
      <c r="H204" s="64"/>
      <c r="I204" s="64"/>
      <c r="J204" s="64"/>
      <c r="K204" s="64"/>
      <c r="L204" s="64"/>
      <c r="M204" s="64"/>
      <c r="N204" s="64"/>
      <c r="O204" s="64"/>
      <c r="P204" s="64"/>
      <c r="Q204" s="64"/>
      <c r="R204" s="64"/>
      <c r="S204" s="64"/>
      <c r="T204" s="64"/>
      <c r="U204" s="64"/>
      <c r="V204" s="64"/>
      <c r="W204" s="64"/>
      <c r="X204" s="64"/>
      <c r="Y204" s="64"/>
      <c r="Z204" s="64"/>
    </row>
    <row r="205">
      <c r="A205" s="72" t="s">
        <v>963</v>
      </c>
      <c r="B205" s="72" t="s">
        <v>1714</v>
      </c>
      <c r="C205" s="72" t="s">
        <v>1715</v>
      </c>
      <c r="D205" s="72" t="s">
        <v>1716</v>
      </c>
      <c r="E205" s="72" t="s">
        <v>1717</v>
      </c>
      <c r="F205" s="64"/>
      <c r="G205" s="74" t="s">
        <v>3</v>
      </c>
      <c r="H205" s="64"/>
      <c r="I205" s="64"/>
      <c r="J205" s="64"/>
      <c r="K205" s="64"/>
      <c r="L205" s="64"/>
      <c r="M205" s="64"/>
      <c r="N205" s="64"/>
      <c r="O205" s="64"/>
      <c r="P205" s="64"/>
      <c r="Q205" s="64"/>
      <c r="R205" s="64"/>
      <c r="S205" s="64"/>
      <c r="T205" s="64"/>
      <c r="U205" s="64"/>
      <c r="V205" s="64"/>
      <c r="W205" s="64"/>
      <c r="X205" s="64"/>
      <c r="Y205" s="64"/>
      <c r="Z205" s="64"/>
    </row>
    <row r="206">
      <c r="A206" s="72" t="s">
        <v>967</v>
      </c>
      <c r="B206" s="72" t="s">
        <v>1718</v>
      </c>
      <c r="C206" s="72" t="s">
        <v>1715</v>
      </c>
      <c r="D206" s="72" t="s">
        <v>1719</v>
      </c>
      <c r="E206" s="72" t="s">
        <v>1720</v>
      </c>
      <c r="F206" s="72" t="s">
        <v>1721</v>
      </c>
      <c r="G206" s="74" t="s">
        <v>3</v>
      </c>
      <c r="H206" s="64"/>
      <c r="I206" s="64"/>
      <c r="J206" s="64"/>
      <c r="K206" s="64"/>
      <c r="L206" s="64"/>
      <c r="M206" s="64"/>
      <c r="N206" s="64"/>
      <c r="O206" s="64"/>
      <c r="P206" s="64"/>
      <c r="Q206" s="64"/>
      <c r="R206" s="64"/>
      <c r="S206" s="64"/>
      <c r="T206" s="64"/>
      <c r="U206" s="64"/>
      <c r="V206" s="64"/>
      <c r="W206" s="64"/>
      <c r="X206" s="64"/>
      <c r="Y206" s="64"/>
      <c r="Z206" s="64"/>
    </row>
    <row r="207">
      <c r="A207" s="72" t="s">
        <v>971</v>
      </c>
      <c r="B207" s="72" t="s">
        <v>1722</v>
      </c>
      <c r="C207" s="72" t="s">
        <v>1723</v>
      </c>
      <c r="D207" s="72" t="s">
        <v>1724</v>
      </c>
      <c r="E207" s="72" t="s">
        <v>1725</v>
      </c>
      <c r="F207" s="64"/>
      <c r="G207" s="74" t="s">
        <v>3</v>
      </c>
      <c r="H207" s="64"/>
      <c r="I207" s="64"/>
      <c r="J207" s="64"/>
      <c r="K207" s="64"/>
      <c r="L207" s="64"/>
      <c r="M207" s="64"/>
      <c r="N207" s="64"/>
      <c r="O207" s="64"/>
      <c r="P207" s="64"/>
      <c r="Q207" s="64"/>
      <c r="R207" s="64"/>
      <c r="S207" s="64"/>
      <c r="T207" s="64"/>
      <c r="U207" s="64"/>
      <c r="V207" s="64"/>
      <c r="W207" s="64"/>
      <c r="X207" s="64"/>
      <c r="Y207" s="64"/>
      <c r="Z207" s="64"/>
    </row>
    <row r="208">
      <c r="A208" s="72" t="s">
        <v>974</v>
      </c>
      <c r="B208" s="72" t="s">
        <v>1726</v>
      </c>
      <c r="C208" s="72" t="s">
        <v>1723</v>
      </c>
      <c r="D208" s="72" t="s">
        <v>1727</v>
      </c>
      <c r="E208" s="72" t="s">
        <v>1725</v>
      </c>
      <c r="F208" s="64"/>
      <c r="G208" s="74" t="s">
        <v>3</v>
      </c>
      <c r="H208" s="64"/>
      <c r="I208" s="64"/>
      <c r="J208" s="64"/>
      <c r="K208" s="64"/>
      <c r="L208" s="64"/>
      <c r="M208" s="64"/>
      <c r="N208" s="64"/>
      <c r="O208" s="64"/>
      <c r="P208" s="64"/>
      <c r="Q208" s="64"/>
      <c r="R208" s="64"/>
      <c r="S208" s="64"/>
      <c r="T208" s="64"/>
      <c r="U208" s="64"/>
      <c r="V208" s="64"/>
      <c r="W208" s="64"/>
      <c r="X208" s="64"/>
      <c r="Y208" s="64"/>
      <c r="Z208" s="64"/>
    </row>
    <row r="209">
      <c r="A209" s="72" t="s">
        <v>978</v>
      </c>
      <c r="B209" s="72" t="s">
        <v>1728</v>
      </c>
      <c r="C209" s="72" t="s">
        <v>1723</v>
      </c>
      <c r="D209" s="72" t="s">
        <v>1729</v>
      </c>
      <c r="E209" s="72" t="s">
        <v>1730</v>
      </c>
      <c r="F209" s="64"/>
      <c r="G209" s="74" t="s">
        <v>3</v>
      </c>
      <c r="H209" s="64"/>
      <c r="I209" s="64"/>
      <c r="J209" s="64"/>
      <c r="K209" s="64"/>
      <c r="L209" s="64"/>
      <c r="M209" s="64"/>
      <c r="N209" s="64"/>
      <c r="O209" s="64"/>
      <c r="P209" s="64"/>
      <c r="Q209" s="64"/>
      <c r="R209" s="64"/>
      <c r="S209" s="64"/>
      <c r="T209" s="64"/>
      <c r="U209" s="64"/>
      <c r="V209" s="64"/>
      <c r="W209" s="64"/>
      <c r="X209" s="64"/>
      <c r="Y209" s="64"/>
      <c r="Z209" s="64"/>
    </row>
    <row r="210">
      <c r="A210" s="72" t="s">
        <v>982</v>
      </c>
      <c r="B210" s="72" t="s">
        <v>1731</v>
      </c>
      <c r="C210" s="72" t="s">
        <v>1723</v>
      </c>
      <c r="D210" s="72" t="s">
        <v>1732</v>
      </c>
      <c r="E210" s="72" t="s">
        <v>1733</v>
      </c>
      <c r="F210" s="64"/>
      <c r="G210" s="74" t="s">
        <v>3</v>
      </c>
      <c r="H210" s="64"/>
      <c r="I210" s="64"/>
      <c r="J210" s="64"/>
      <c r="K210" s="64"/>
      <c r="L210" s="64"/>
      <c r="M210" s="64"/>
      <c r="N210" s="64"/>
      <c r="O210" s="64"/>
      <c r="P210" s="64"/>
      <c r="Q210" s="64"/>
      <c r="R210" s="64"/>
      <c r="S210" s="64"/>
      <c r="T210" s="64"/>
      <c r="U210" s="64"/>
      <c r="V210" s="64"/>
      <c r="W210" s="64"/>
      <c r="X210" s="64"/>
      <c r="Y210" s="64"/>
      <c r="Z210" s="64"/>
    </row>
    <row r="211">
      <c r="A211" s="72" t="s">
        <v>994</v>
      </c>
      <c r="B211" s="72" t="s">
        <v>1734</v>
      </c>
      <c r="C211" s="72" t="s">
        <v>1723</v>
      </c>
      <c r="D211" s="72" t="s">
        <v>1735</v>
      </c>
      <c r="E211" s="72" t="s">
        <v>1736</v>
      </c>
      <c r="F211" s="64"/>
      <c r="G211" s="74" t="s">
        <v>3</v>
      </c>
      <c r="H211" s="64"/>
      <c r="I211" s="64"/>
      <c r="J211" s="64"/>
      <c r="K211" s="64"/>
      <c r="L211" s="64"/>
      <c r="M211" s="64"/>
      <c r="N211" s="64"/>
      <c r="O211" s="64"/>
      <c r="P211" s="64"/>
      <c r="Q211" s="64"/>
      <c r="R211" s="64"/>
      <c r="S211" s="64"/>
      <c r="T211" s="64"/>
      <c r="U211" s="64"/>
      <c r="V211" s="64"/>
      <c r="W211" s="64"/>
      <c r="X211" s="64"/>
      <c r="Y211" s="64"/>
      <c r="Z211" s="64"/>
    </row>
    <row r="212">
      <c r="A212" s="72" t="s">
        <v>999</v>
      </c>
      <c r="B212" s="72" t="s">
        <v>1737</v>
      </c>
      <c r="C212" s="72" t="s">
        <v>1738</v>
      </c>
      <c r="D212" s="72" t="s">
        <v>1739</v>
      </c>
      <c r="E212" s="72" t="s">
        <v>1740</v>
      </c>
      <c r="F212" s="64"/>
      <c r="G212" s="74" t="s">
        <v>3</v>
      </c>
      <c r="H212" s="64"/>
      <c r="I212" s="64"/>
      <c r="J212" s="64"/>
      <c r="K212" s="64"/>
      <c r="L212" s="64"/>
      <c r="M212" s="64"/>
      <c r="N212" s="64"/>
      <c r="O212" s="64"/>
      <c r="P212" s="64"/>
      <c r="Q212" s="64"/>
      <c r="R212" s="64"/>
      <c r="S212" s="64"/>
      <c r="T212" s="64"/>
      <c r="U212" s="64"/>
      <c r="V212" s="64"/>
      <c r="W212" s="64"/>
      <c r="X212" s="64"/>
      <c r="Y212" s="64"/>
      <c r="Z212" s="64"/>
    </row>
    <row r="213">
      <c r="A213" s="72" t="s">
        <v>1003</v>
      </c>
      <c r="B213" s="72" t="s">
        <v>1741</v>
      </c>
      <c r="C213" s="72" t="s">
        <v>1723</v>
      </c>
      <c r="D213" s="72" t="s">
        <v>1742</v>
      </c>
      <c r="E213" s="72" t="s">
        <v>1743</v>
      </c>
      <c r="F213" s="64"/>
      <c r="G213" s="74" t="s">
        <v>3</v>
      </c>
      <c r="H213" s="64"/>
      <c r="I213" s="64"/>
      <c r="J213" s="64"/>
      <c r="K213" s="64"/>
      <c r="L213" s="64"/>
      <c r="M213" s="64"/>
      <c r="N213" s="64"/>
      <c r="O213" s="64"/>
      <c r="P213" s="64"/>
      <c r="Q213" s="64"/>
      <c r="R213" s="64"/>
      <c r="S213" s="64"/>
      <c r="T213" s="64"/>
      <c r="U213" s="64"/>
      <c r="V213" s="64"/>
      <c r="W213" s="64"/>
      <c r="X213" s="64"/>
      <c r="Y213" s="64"/>
      <c r="Z213" s="64"/>
    </row>
    <row r="214">
      <c r="A214" s="72" t="s">
        <v>1016</v>
      </c>
      <c r="B214" s="72" t="s">
        <v>1744</v>
      </c>
      <c r="C214" s="72" t="s">
        <v>1745</v>
      </c>
      <c r="D214" s="72" t="s">
        <v>1746</v>
      </c>
      <c r="E214" s="72" t="s">
        <v>1747</v>
      </c>
      <c r="F214" s="106" t="s">
        <v>1748</v>
      </c>
      <c r="G214" s="74" t="s">
        <v>3</v>
      </c>
      <c r="H214" s="64"/>
      <c r="I214" s="64"/>
      <c r="J214" s="64"/>
      <c r="K214" s="64"/>
      <c r="L214" s="64"/>
      <c r="M214" s="64"/>
      <c r="N214" s="64"/>
      <c r="O214" s="64"/>
      <c r="P214" s="64"/>
      <c r="Q214" s="64"/>
      <c r="R214" s="64"/>
      <c r="S214" s="64"/>
      <c r="T214" s="64"/>
      <c r="U214" s="64"/>
      <c r="V214" s="64"/>
      <c r="W214" s="64"/>
      <c r="X214" s="64"/>
      <c r="Y214" s="64"/>
      <c r="Z214" s="64"/>
    </row>
    <row r="215">
      <c r="A215" s="72" t="s">
        <v>1028</v>
      </c>
      <c r="B215" s="72" t="s">
        <v>1749</v>
      </c>
      <c r="C215" s="72" t="s">
        <v>1750</v>
      </c>
      <c r="D215" s="72" t="s">
        <v>1746</v>
      </c>
      <c r="E215" s="72" t="s">
        <v>1751</v>
      </c>
      <c r="F215" s="64"/>
      <c r="G215" s="108" t="s">
        <v>3</v>
      </c>
      <c r="H215" s="64"/>
      <c r="I215" s="64"/>
      <c r="J215" s="64"/>
      <c r="K215" s="64"/>
      <c r="L215" s="64"/>
      <c r="M215" s="64"/>
      <c r="N215" s="64"/>
      <c r="O215" s="64"/>
      <c r="P215" s="64"/>
      <c r="Q215" s="64"/>
      <c r="R215" s="64"/>
      <c r="S215" s="64"/>
      <c r="T215" s="64"/>
      <c r="U215" s="64"/>
      <c r="V215" s="64"/>
      <c r="W215" s="64"/>
      <c r="X215" s="64"/>
      <c r="Y215" s="64"/>
      <c r="Z215" s="64"/>
    </row>
    <row r="216">
      <c r="A216" s="104"/>
      <c r="B216" s="110" t="s">
        <v>1752</v>
      </c>
      <c r="C216" s="104"/>
      <c r="D216" s="104"/>
      <c r="E216" s="104"/>
      <c r="F216" s="69"/>
      <c r="G216" s="69"/>
      <c r="H216" s="64"/>
      <c r="I216" s="64"/>
      <c r="J216" s="64"/>
      <c r="K216" s="64"/>
      <c r="L216" s="64"/>
      <c r="M216" s="64"/>
      <c r="N216" s="64"/>
      <c r="O216" s="64"/>
      <c r="P216" s="64"/>
      <c r="Q216" s="64"/>
      <c r="R216" s="64"/>
      <c r="S216" s="64"/>
      <c r="T216" s="64"/>
      <c r="U216" s="64"/>
      <c r="V216" s="64"/>
      <c r="W216" s="64"/>
      <c r="X216" s="64"/>
      <c r="Y216" s="64"/>
      <c r="Z216" s="64"/>
    </row>
    <row r="217">
      <c r="A217" s="72" t="s">
        <v>963</v>
      </c>
      <c r="B217" s="72" t="s">
        <v>1753</v>
      </c>
      <c r="C217" s="72" t="s">
        <v>1754</v>
      </c>
      <c r="D217" s="72" t="s">
        <v>1755</v>
      </c>
      <c r="E217" s="72" t="s">
        <v>1756</v>
      </c>
      <c r="F217" s="64"/>
      <c r="G217" s="74" t="s">
        <v>3</v>
      </c>
      <c r="H217" s="64"/>
      <c r="I217" s="64"/>
      <c r="J217" s="64"/>
      <c r="K217" s="64"/>
      <c r="L217" s="64"/>
      <c r="M217" s="64"/>
      <c r="N217" s="64"/>
      <c r="O217" s="64"/>
      <c r="P217" s="64"/>
      <c r="Q217" s="64"/>
      <c r="R217" s="64"/>
      <c r="S217" s="64"/>
      <c r="T217" s="64"/>
      <c r="U217" s="64"/>
      <c r="V217" s="64"/>
      <c r="W217" s="64"/>
      <c r="X217" s="64"/>
      <c r="Y217" s="64"/>
      <c r="Z217" s="64"/>
    </row>
    <row r="218">
      <c r="A218" s="72" t="s">
        <v>967</v>
      </c>
      <c r="B218" s="72" t="s">
        <v>1757</v>
      </c>
      <c r="C218" s="72" t="s">
        <v>1758</v>
      </c>
      <c r="D218" s="72" t="s">
        <v>1759</v>
      </c>
      <c r="E218" s="72" t="s">
        <v>1760</v>
      </c>
      <c r="F218" s="64"/>
      <c r="G218" s="74" t="s">
        <v>3</v>
      </c>
      <c r="H218" s="64"/>
      <c r="I218" s="64"/>
      <c r="J218" s="64"/>
      <c r="K218" s="64"/>
      <c r="L218" s="64"/>
      <c r="M218" s="64"/>
      <c r="N218" s="64"/>
      <c r="O218" s="64"/>
      <c r="P218" s="64"/>
      <c r="Q218" s="64"/>
      <c r="R218" s="64"/>
      <c r="S218" s="64"/>
      <c r="T218" s="64"/>
      <c r="U218" s="64"/>
      <c r="V218" s="64"/>
      <c r="W218" s="64"/>
      <c r="X218" s="64"/>
      <c r="Y218" s="64"/>
      <c r="Z218" s="64"/>
    </row>
    <row r="219">
      <c r="A219" s="72" t="s">
        <v>971</v>
      </c>
      <c r="B219" s="72" t="s">
        <v>1761</v>
      </c>
      <c r="C219" s="72" t="s">
        <v>1762</v>
      </c>
      <c r="D219" s="72" t="s">
        <v>1763</v>
      </c>
      <c r="E219" s="72" t="s">
        <v>1764</v>
      </c>
      <c r="F219" s="64"/>
      <c r="G219" s="74" t="s">
        <v>3</v>
      </c>
      <c r="H219" s="64"/>
      <c r="I219" s="64"/>
      <c r="J219" s="64"/>
      <c r="K219" s="64"/>
      <c r="L219" s="64"/>
      <c r="M219" s="64"/>
      <c r="N219" s="64"/>
      <c r="O219" s="64"/>
      <c r="P219" s="64"/>
      <c r="Q219" s="64"/>
      <c r="R219" s="64"/>
      <c r="S219" s="64"/>
      <c r="T219" s="64"/>
      <c r="U219" s="64"/>
      <c r="V219" s="64"/>
      <c r="W219" s="64"/>
      <c r="X219" s="64"/>
      <c r="Y219" s="64"/>
      <c r="Z219" s="64"/>
    </row>
    <row r="220">
      <c r="A220" s="72" t="s">
        <v>974</v>
      </c>
      <c r="B220" s="72" t="s">
        <v>1765</v>
      </c>
      <c r="C220" s="72" t="s">
        <v>1762</v>
      </c>
      <c r="D220" s="72" t="s">
        <v>1766</v>
      </c>
      <c r="E220" s="72" t="s">
        <v>1767</v>
      </c>
      <c r="F220" s="64"/>
      <c r="G220" s="108" t="s">
        <v>3</v>
      </c>
      <c r="H220" s="64"/>
      <c r="I220" s="64"/>
      <c r="J220" s="64"/>
      <c r="K220" s="64"/>
      <c r="L220" s="64"/>
      <c r="M220" s="64"/>
      <c r="N220" s="64"/>
      <c r="O220" s="64"/>
      <c r="P220" s="64"/>
      <c r="Q220" s="64"/>
      <c r="R220" s="64"/>
      <c r="S220" s="64"/>
      <c r="T220" s="64"/>
      <c r="U220" s="64"/>
      <c r="V220" s="64"/>
      <c r="W220" s="64"/>
      <c r="X220" s="64"/>
      <c r="Y220" s="64"/>
      <c r="Z220" s="64"/>
    </row>
    <row r="221">
      <c r="A221" s="72" t="s">
        <v>978</v>
      </c>
      <c r="B221" s="72" t="s">
        <v>1768</v>
      </c>
      <c r="C221" s="72" t="s">
        <v>1769</v>
      </c>
      <c r="D221" s="72" t="s">
        <v>1770</v>
      </c>
      <c r="E221" s="72" t="s">
        <v>1771</v>
      </c>
      <c r="F221" s="64"/>
      <c r="G221" s="74" t="s">
        <v>3</v>
      </c>
      <c r="H221" s="64"/>
      <c r="I221" s="64"/>
      <c r="J221" s="64"/>
      <c r="K221" s="64"/>
      <c r="L221" s="64"/>
      <c r="M221" s="64"/>
      <c r="N221" s="64"/>
      <c r="O221" s="64"/>
      <c r="P221" s="64"/>
      <c r="Q221" s="64"/>
      <c r="R221" s="64"/>
      <c r="S221" s="64"/>
      <c r="T221" s="64"/>
      <c r="U221" s="64"/>
      <c r="V221" s="64"/>
      <c r="W221" s="64"/>
      <c r="X221" s="64"/>
      <c r="Y221" s="64"/>
      <c r="Z221" s="64"/>
    </row>
    <row r="222">
      <c r="A222" s="72" t="s">
        <v>982</v>
      </c>
      <c r="B222" s="72" t="s">
        <v>1728</v>
      </c>
      <c r="C222" s="72" t="s">
        <v>1762</v>
      </c>
      <c r="D222" s="72" t="s">
        <v>1772</v>
      </c>
      <c r="E222" s="72" t="s">
        <v>1773</v>
      </c>
      <c r="F222" s="64"/>
      <c r="G222" s="74" t="s">
        <v>3</v>
      </c>
      <c r="H222" s="64"/>
      <c r="I222" s="64"/>
      <c r="J222" s="64"/>
      <c r="K222" s="64"/>
      <c r="L222" s="64"/>
      <c r="M222" s="64"/>
      <c r="N222" s="64"/>
      <c r="O222" s="64"/>
      <c r="P222" s="64"/>
      <c r="Q222" s="64"/>
      <c r="R222" s="64"/>
      <c r="S222" s="64"/>
      <c r="T222" s="64"/>
      <c r="U222" s="64"/>
      <c r="V222" s="64"/>
      <c r="W222" s="64"/>
      <c r="X222" s="64"/>
      <c r="Y222" s="64"/>
      <c r="Z222" s="64"/>
    </row>
    <row r="223">
      <c r="A223" s="72" t="s">
        <v>986</v>
      </c>
      <c r="B223" s="72" t="s">
        <v>1774</v>
      </c>
      <c r="C223" s="72" t="s">
        <v>1762</v>
      </c>
      <c r="D223" s="72" t="s">
        <v>1775</v>
      </c>
      <c r="E223" s="72" t="s">
        <v>1733</v>
      </c>
      <c r="F223" s="64"/>
      <c r="G223" s="74" t="s">
        <v>3</v>
      </c>
      <c r="H223" s="64"/>
      <c r="I223" s="64"/>
      <c r="J223" s="64"/>
      <c r="K223" s="64"/>
      <c r="L223" s="64"/>
      <c r="M223" s="64"/>
      <c r="N223" s="64"/>
      <c r="O223" s="64"/>
      <c r="P223" s="64"/>
      <c r="Q223" s="64"/>
      <c r="R223" s="64"/>
      <c r="S223" s="64"/>
      <c r="T223" s="64"/>
      <c r="U223" s="64"/>
      <c r="V223" s="64"/>
      <c r="W223" s="64"/>
      <c r="X223" s="64"/>
      <c r="Y223" s="64"/>
      <c r="Z223" s="64"/>
    </row>
    <row r="224">
      <c r="A224" s="72" t="s">
        <v>990</v>
      </c>
      <c r="B224" s="72" t="s">
        <v>1776</v>
      </c>
      <c r="C224" s="72" t="s">
        <v>1762</v>
      </c>
      <c r="D224" s="72" t="s">
        <v>1777</v>
      </c>
      <c r="E224" s="72" t="s">
        <v>1778</v>
      </c>
      <c r="F224" s="64"/>
      <c r="G224" s="74" t="s">
        <v>3</v>
      </c>
      <c r="H224" s="64"/>
      <c r="I224" s="64"/>
      <c r="J224" s="64"/>
      <c r="K224" s="64"/>
      <c r="L224" s="64"/>
      <c r="M224" s="64"/>
      <c r="N224" s="64"/>
      <c r="O224" s="64"/>
      <c r="P224" s="64"/>
      <c r="Q224" s="64"/>
      <c r="R224" s="64"/>
      <c r="S224" s="64"/>
      <c r="T224" s="64"/>
      <c r="U224" s="64"/>
      <c r="V224" s="64"/>
      <c r="W224" s="64"/>
      <c r="X224" s="64"/>
      <c r="Y224" s="64"/>
      <c r="Z224" s="64"/>
    </row>
    <row r="225">
      <c r="A225" s="72" t="s">
        <v>994</v>
      </c>
      <c r="B225" s="72" t="s">
        <v>1779</v>
      </c>
      <c r="C225" s="72" t="s">
        <v>1762</v>
      </c>
      <c r="D225" s="72" t="s">
        <v>1362</v>
      </c>
      <c r="E225" s="72" t="s">
        <v>1780</v>
      </c>
      <c r="F225" s="64"/>
      <c r="G225" s="74" t="s">
        <v>3</v>
      </c>
      <c r="H225" s="64"/>
      <c r="I225" s="64"/>
      <c r="J225" s="64"/>
      <c r="K225" s="64"/>
      <c r="L225" s="64"/>
      <c r="M225" s="64"/>
      <c r="N225" s="64"/>
      <c r="O225" s="64"/>
      <c r="P225" s="64"/>
      <c r="Q225" s="64"/>
      <c r="R225" s="64"/>
      <c r="S225" s="64"/>
      <c r="T225" s="64"/>
      <c r="U225" s="64"/>
      <c r="V225" s="64"/>
      <c r="W225" s="64"/>
      <c r="X225" s="64"/>
      <c r="Y225" s="64"/>
      <c r="Z225" s="64"/>
    </row>
    <row r="226">
      <c r="A226" s="72" t="s">
        <v>999</v>
      </c>
      <c r="B226" s="72" t="s">
        <v>1781</v>
      </c>
      <c r="C226" s="72" t="s">
        <v>1782</v>
      </c>
      <c r="D226" s="72" t="s">
        <v>1783</v>
      </c>
      <c r="E226" s="75" t="s">
        <v>1784</v>
      </c>
      <c r="F226" s="64"/>
      <c r="G226" s="74" t="s">
        <v>3</v>
      </c>
      <c r="H226" s="64"/>
      <c r="I226" s="64"/>
      <c r="J226" s="64"/>
      <c r="K226" s="64"/>
      <c r="L226" s="64"/>
      <c r="M226" s="64"/>
      <c r="N226" s="64"/>
      <c r="O226" s="64"/>
      <c r="P226" s="64"/>
      <c r="Q226" s="64"/>
      <c r="R226" s="64"/>
      <c r="S226" s="64"/>
      <c r="T226" s="64"/>
      <c r="U226" s="64"/>
      <c r="V226" s="64"/>
      <c r="W226" s="64"/>
      <c r="X226" s="64"/>
      <c r="Y226" s="64"/>
      <c r="Z226" s="64"/>
    </row>
    <row r="227">
      <c r="A227" s="72" t="s">
        <v>1003</v>
      </c>
      <c r="B227" s="72" t="s">
        <v>1785</v>
      </c>
      <c r="C227" s="72" t="s">
        <v>1786</v>
      </c>
      <c r="D227" s="72" t="s">
        <v>1783</v>
      </c>
      <c r="E227" s="75" t="s">
        <v>1787</v>
      </c>
      <c r="F227" s="64"/>
      <c r="G227" s="77" t="s">
        <v>3</v>
      </c>
      <c r="H227" s="64"/>
      <c r="I227" s="64"/>
      <c r="J227" s="64"/>
      <c r="K227" s="64"/>
      <c r="L227" s="64"/>
      <c r="M227" s="64"/>
      <c r="N227" s="64"/>
      <c r="O227" s="64"/>
      <c r="P227" s="64"/>
      <c r="Q227" s="64"/>
      <c r="R227" s="64"/>
      <c r="S227" s="64"/>
      <c r="T227" s="64"/>
      <c r="U227" s="64"/>
      <c r="V227" s="64"/>
      <c r="W227" s="64"/>
      <c r="X227" s="64"/>
      <c r="Y227" s="64"/>
      <c r="Z227" s="64"/>
    </row>
    <row r="228">
      <c r="A228" s="72" t="s">
        <v>1008</v>
      </c>
      <c r="B228" s="72" t="s">
        <v>1788</v>
      </c>
      <c r="C228" s="72" t="s">
        <v>1789</v>
      </c>
      <c r="D228" s="72" t="s">
        <v>1790</v>
      </c>
      <c r="E228" s="72" t="s">
        <v>1791</v>
      </c>
      <c r="F228" s="64"/>
      <c r="G228" s="74" t="s">
        <v>3</v>
      </c>
      <c r="H228" s="64"/>
      <c r="I228" s="64"/>
      <c r="J228" s="64"/>
      <c r="K228" s="64"/>
      <c r="L228" s="64"/>
      <c r="M228" s="64"/>
      <c r="N228" s="64"/>
      <c r="O228" s="64"/>
      <c r="P228" s="64"/>
      <c r="Q228" s="64"/>
      <c r="R228" s="64"/>
      <c r="S228" s="64"/>
      <c r="T228" s="64"/>
      <c r="U228" s="64"/>
      <c r="V228" s="64"/>
      <c r="W228" s="64"/>
      <c r="X228" s="64"/>
      <c r="Y228" s="64"/>
      <c r="Z228" s="64"/>
    </row>
    <row r="229">
      <c r="A229" s="72" t="s">
        <v>1012</v>
      </c>
      <c r="B229" s="72" t="s">
        <v>1792</v>
      </c>
      <c r="C229" s="72" t="s">
        <v>1789</v>
      </c>
      <c r="D229" s="72" t="s">
        <v>1793</v>
      </c>
      <c r="E229" s="72" t="s">
        <v>1794</v>
      </c>
      <c r="F229" s="75" t="s">
        <v>1795</v>
      </c>
      <c r="G229" s="74" t="s">
        <v>5</v>
      </c>
      <c r="H229" s="64"/>
      <c r="I229" s="64"/>
      <c r="J229" s="64"/>
      <c r="K229" s="64"/>
      <c r="L229" s="64"/>
      <c r="M229" s="64"/>
      <c r="N229" s="64"/>
      <c r="O229" s="64"/>
      <c r="P229" s="64"/>
      <c r="Q229" s="64"/>
      <c r="R229" s="64"/>
      <c r="S229" s="64"/>
      <c r="T229" s="64"/>
      <c r="U229" s="64"/>
      <c r="V229" s="64"/>
      <c r="W229" s="64"/>
      <c r="X229" s="64"/>
      <c r="Y229" s="64"/>
      <c r="Z229" s="64"/>
    </row>
    <row r="230">
      <c r="A230" s="72"/>
      <c r="B230" s="72"/>
      <c r="C230" s="72"/>
      <c r="D230" s="72"/>
      <c r="E230" s="72"/>
      <c r="F230" s="64"/>
      <c r="G230" s="91"/>
      <c r="H230" s="64"/>
      <c r="I230" s="64"/>
      <c r="J230" s="64"/>
      <c r="K230" s="64"/>
      <c r="L230" s="64"/>
      <c r="M230" s="64"/>
      <c r="N230" s="64"/>
      <c r="O230" s="64"/>
      <c r="P230" s="64"/>
      <c r="Q230" s="64"/>
      <c r="R230" s="64"/>
      <c r="S230" s="64"/>
      <c r="T230" s="64"/>
      <c r="U230" s="64"/>
      <c r="V230" s="64"/>
      <c r="W230" s="64"/>
      <c r="X230" s="64"/>
      <c r="Y230" s="64"/>
      <c r="Z230" s="64"/>
    </row>
    <row r="231">
      <c r="A231" s="72"/>
      <c r="B231" s="72"/>
      <c r="C231" s="72"/>
      <c r="D231" s="72"/>
      <c r="E231" s="72"/>
      <c r="F231" s="64"/>
      <c r="G231" s="91"/>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sheetData>
  <dataValidations>
    <dataValidation type="list" allowBlank="1" showErrorMessage="1" sqref="G6:G13 G15:G22 G24:G33 G35:G38 G41:G48 G50:G57 G59:G69 G71:G81 G83:G84 G86:G231">
      <formula1>"Pass,Fail,Pending,N/A,Accepted"</formula1>
    </dataValidation>
  </dataValidations>
  <hyperlinks>
    <hyperlink r:id="rId1" ref="E114"/>
    <hyperlink r:id="rId2" ref="F214"/>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 customWidth="1" min="4" max="4" width="31.88"/>
    <col customWidth="1" min="5" max="5" width="65.88"/>
  </cols>
  <sheetData>
    <row r="1">
      <c r="A1" s="40"/>
      <c r="B1" s="117" t="s">
        <v>29</v>
      </c>
      <c r="C1" s="41" t="s">
        <v>3</v>
      </c>
      <c r="D1" s="41" t="s">
        <v>4</v>
      </c>
      <c r="E1" s="41" t="s">
        <v>5</v>
      </c>
      <c r="F1" s="41" t="s">
        <v>6</v>
      </c>
      <c r="G1" s="41" t="s">
        <v>7</v>
      </c>
      <c r="H1" s="41" t="s">
        <v>30</v>
      </c>
    </row>
    <row r="2">
      <c r="A2" s="40"/>
      <c r="B2" s="118"/>
      <c r="C2" s="46">
        <f>COUNTIF(F4:F1371,"Pass") +countif(F4:F1371,"Accepted")</f>
        <v>13</v>
      </c>
      <c r="D2" s="45">
        <f>COUNTIF(F4:F1371,"Fail")</f>
        <v>0</v>
      </c>
      <c r="E2" s="46">
        <f>COUNTIF(F4:F1371,"Pending")</f>
        <v>0</v>
      </c>
      <c r="F2" s="46">
        <f>COUNTIF(F4:F1371,"N/A")</f>
        <v>1</v>
      </c>
      <c r="G2" s="46">
        <f>H2-C2-D2-E2-F2</f>
        <v>0</v>
      </c>
      <c r="H2" s="46">
        <f>COUNTA(E5:E1492)</f>
        <v>14</v>
      </c>
    </row>
    <row r="3">
      <c r="B3" s="119" t="s">
        <v>1796</v>
      </c>
      <c r="E3" s="120"/>
    </row>
    <row r="4">
      <c r="A4" s="121"/>
      <c r="B4" s="122" t="s">
        <v>2</v>
      </c>
      <c r="C4" s="123" t="s">
        <v>1797</v>
      </c>
      <c r="D4" s="123" t="s">
        <v>1798</v>
      </c>
      <c r="E4" s="124" t="s">
        <v>1799</v>
      </c>
      <c r="F4" s="123" t="s">
        <v>1800</v>
      </c>
      <c r="G4" s="121"/>
    </row>
    <row r="5">
      <c r="A5" s="125" t="s">
        <v>1801</v>
      </c>
      <c r="B5" s="126" t="s">
        <v>1802</v>
      </c>
      <c r="C5" s="31"/>
      <c r="D5" s="31"/>
      <c r="E5" s="31"/>
      <c r="F5" s="31"/>
      <c r="G5" s="30"/>
    </row>
    <row r="6">
      <c r="A6" s="127">
        <v>1.0</v>
      </c>
      <c r="B6" s="128" t="s">
        <v>1803</v>
      </c>
      <c r="C6" s="129"/>
      <c r="D6" s="127" t="s">
        <v>1804</v>
      </c>
      <c r="E6" s="130" t="s">
        <v>1805</v>
      </c>
      <c r="F6" s="74" t="s">
        <v>3</v>
      </c>
      <c r="G6" s="131"/>
    </row>
    <row r="7">
      <c r="A7" s="127">
        <v>2.0</v>
      </c>
      <c r="B7" s="127" t="s">
        <v>1806</v>
      </c>
      <c r="C7" s="132"/>
      <c r="D7" s="133" t="s">
        <v>1807</v>
      </c>
      <c r="E7" s="130" t="s">
        <v>1808</v>
      </c>
      <c r="F7" s="77" t="s">
        <v>6</v>
      </c>
      <c r="G7" s="131"/>
    </row>
    <row r="8">
      <c r="A8" s="127">
        <v>3.0</v>
      </c>
      <c r="B8" s="127" t="s">
        <v>1809</v>
      </c>
      <c r="C8" s="132"/>
      <c r="D8" s="133" t="s">
        <v>1807</v>
      </c>
      <c r="E8" s="130" t="s">
        <v>1810</v>
      </c>
      <c r="F8" s="74" t="s">
        <v>3</v>
      </c>
      <c r="G8" s="131"/>
    </row>
    <row r="9">
      <c r="A9" s="127">
        <v>4.0</v>
      </c>
      <c r="B9" s="127" t="s">
        <v>1811</v>
      </c>
      <c r="C9" s="132"/>
      <c r="D9" s="127" t="s">
        <v>1812</v>
      </c>
      <c r="E9" s="127" t="s">
        <v>1813</v>
      </c>
      <c r="F9" s="74" t="s">
        <v>3</v>
      </c>
      <c r="G9" s="131"/>
    </row>
    <row r="10">
      <c r="A10" s="125" t="s">
        <v>1814</v>
      </c>
      <c r="B10" s="126" t="s">
        <v>1815</v>
      </c>
      <c r="C10" s="31"/>
      <c r="D10" s="31"/>
      <c r="E10" s="31"/>
      <c r="F10" s="30"/>
      <c r="G10" s="134"/>
    </row>
    <row r="11">
      <c r="A11" s="135">
        <v>5.0</v>
      </c>
      <c r="B11" s="127" t="s">
        <v>1816</v>
      </c>
      <c r="C11" s="131"/>
      <c r="D11" s="135" t="s">
        <v>1817</v>
      </c>
      <c r="E11" s="127" t="s">
        <v>1818</v>
      </c>
      <c r="F11" s="74" t="s">
        <v>3</v>
      </c>
      <c r="G11" s="131"/>
    </row>
    <row r="12">
      <c r="A12" s="136">
        <v>6.0</v>
      </c>
      <c r="B12" s="137" t="s">
        <v>1819</v>
      </c>
      <c r="C12" s="134"/>
      <c r="D12" s="138" t="s">
        <v>1817</v>
      </c>
      <c r="E12" s="137" t="s">
        <v>1820</v>
      </c>
      <c r="F12" s="74" t="s">
        <v>3</v>
      </c>
      <c r="G12" s="134"/>
    </row>
    <row r="13">
      <c r="A13" s="125" t="s">
        <v>1821</v>
      </c>
      <c r="B13" s="126" t="s">
        <v>1822</v>
      </c>
      <c r="C13" s="31"/>
      <c r="D13" s="31"/>
      <c r="E13" s="31"/>
      <c r="F13" s="30"/>
      <c r="G13" s="134"/>
    </row>
    <row r="14">
      <c r="A14" s="135">
        <v>7.0</v>
      </c>
      <c r="B14" s="127" t="s">
        <v>1823</v>
      </c>
      <c r="C14" s="131"/>
      <c r="D14" s="135" t="s">
        <v>1824</v>
      </c>
      <c r="E14" s="127" t="s">
        <v>1825</v>
      </c>
      <c r="F14" s="74" t="s">
        <v>3</v>
      </c>
      <c r="G14" s="131"/>
    </row>
    <row r="15">
      <c r="A15" s="136">
        <v>8.0</v>
      </c>
      <c r="B15" s="137" t="s">
        <v>1826</v>
      </c>
      <c r="C15" s="134"/>
      <c r="D15" s="136" t="s">
        <v>1827</v>
      </c>
      <c r="E15" s="137" t="s">
        <v>1828</v>
      </c>
      <c r="F15" s="74" t="s">
        <v>3</v>
      </c>
      <c r="G15" s="134"/>
    </row>
    <row r="16">
      <c r="A16" s="139">
        <v>9.0</v>
      </c>
      <c r="B16" s="140" t="s">
        <v>1829</v>
      </c>
      <c r="C16" s="141"/>
      <c r="D16" s="139" t="s">
        <v>1830</v>
      </c>
      <c r="E16" s="142" t="s">
        <v>1831</v>
      </c>
      <c r="F16" s="74" t="s">
        <v>3</v>
      </c>
      <c r="G16" s="131"/>
    </row>
    <row r="17">
      <c r="A17" s="143" t="s">
        <v>1832</v>
      </c>
      <c r="B17" s="144" t="s">
        <v>1833</v>
      </c>
      <c r="C17" s="34"/>
      <c r="D17" s="34"/>
      <c r="E17" s="34"/>
      <c r="F17" s="34"/>
      <c r="G17" s="33"/>
    </row>
    <row r="18">
      <c r="A18" s="136">
        <v>10.0</v>
      </c>
      <c r="B18" s="145" t="s">
        <v>1834</v>
      </c>
      <c r="C18" s="146"/>
      <c r="D18" s="147" t="s">
        <v>1835</v>
      </c>
      <c r="E18" s="145" t="s">
        <v>1836</v>
      </c>
      <c r="F18" s="74" t="s">
        <v>3</v>
      </c>
      <c r="G18" s="148"/>
    </row>
    <row r="19">
      <c r="A19" s="136">
        <v>11.0</v>
      </c>
      <c r="B19" s="145" t="s">
        <v>1837</v>
      </c>
      <c r="C19" s="146"/>
      <c r="D19" s="147" t="s">
        <v>1835</v>
      </c>
      <c r="E19" s="145" t="s">
        <v>1838</v>
      </c>
      <c r="F19" s="74" t="s">
        <v>3</v>
      </c>
      <c r="G19" s="148"/>
    </row>
    <row r="20">
      <c r="A20" s="125" t="s">
        <v>1839</v>
      </c>
      <c r="B20" s="126" t="s">
        <v>1840</v>
      </c>
      <c r="C20" s="31"/>
      <c r="D20" s="31"/>
      <c r="E20" s="31"/>
      <c r="F20" s="30"/>
      <c r="G20" s="134"/>
    </row>
    <row r="21">
      <c r="A21" s="136">
        <v>12.0</v>
      </c>
      <c r="B21" s="137" t="s">
        <v>1841</v>
      </c>
      <c r="C21" s="134"/>
      <c r="D21" s="136" t="s">
        <v>1842</v>
      </c>
      <c r="E21" s="137" t="s">
        <v>1843</v>
      </c>
      <c r="F21" s="74" t="s">
        <v>3</v>
      </c>
      <c r="G21" s="134"/>
    </row>
    <row r="22">
      <c r="A22" s="136">
        <v>13.0</v>
      </c>
      <c r="B22" s="137" t="s">
        <v>1844</v>
      </c>
      <c r="C22" s="134"/>
      <c r="D22" s="136" t="s">
        <v>1845</v>
      </c>
      <c r="E22" s="137" t="s">
        <v>1846</v>
      </c>
      <c r="F22" s="74" t="s">
        <v>3</v>
      </c>
      <c r="G22" s="134"/>
    </row>
    <row r="23">
      <c r="A23" s="136">
        <v>14.0</v>
      </c>
      <c r="B23" s="137" t="s">
        <v>1847</v>
      </c>
      <c r="C23" s="134"/>
      <c r="D23" s="136" t="s">
        <v>1848</v>
      </c>
      <c r="E23" s="137" t="s">
        <v>1808</v>
      </c>
      <c r="F23" s="74" t="s">
        <v>3</v>
      </c>
      <c r="G23" s="134"/>
    </row>
    <row r="24">
      <c r="B24" s="120"/>
      <c r="E24" s="120"/>
    </row>
    <row r="25">
      <c r="B25" s="120"/>
      <c r="E25" s="120"/>
    </row>
    <row r="26">
      <c r="B26" s="120"/>
      <c r="E26" s="120"/>
    </row>
    <row r="27">
      <c r="B27" s="120"/>
      <c r="E27" s="120"/>
    </row>
    <row r="28">
      <c r="B28" s="120"/>
      <c r="E28" s="120"/>
    </row>
    <row r="29">
      <c r="B29" s="120"/>
      <c r="E29" s="120"/>
    </row>
    <row r="30">
      <c r="B30" s="120"/>
      <c r="E30" s="120"/>
    </row>
    <row r="31">
      <c r="B31" s="120"/>
      <c r="E31" s="120"/>
    </row>
    <row r="32">
      <c r="B32" s="120"/>
      <c r="E32" s="120"/>
    </row>
    <row r="33">
      <c r="B33" s="120"/>
      <c r="E33" s="120"/>
    </row>
    <row r="34">
      <c r="B34" s="120"/>
      <c r="E34" s="120"/>
    </row>
    <row r="35">
      <c r="B35" s="120"/>
      <c r="E35" s="120"/>
    </row>
    <row r="36">
      <c r="B36" s="120"/>
      <c r="E36" s="120"/>
    </row>
    <row r="37">
      <c r="B37" s="120"/>
      <c r="E37" s="120"/>
    </row>
    <row r="38">
      <c r="B38" s="120"/>
      <c r="E38" s="120"/>
    </row>
    <row r="39">
      <c r="B39" s="120"/>
      <c r="E39" s="120"/>
    </row>
    <row r="40">
      <c r="B40" s="120"/>
      <c r="E40" s="120"/>
    </row>
    <row r="41">
      <c r="B41" s="120"/>
      <c r="E41" s="120"/>
    </row>
    <row r="42">
      <c r="B42" s="120"/>
      <c r="E42" s="120"/>
    </row>
    <row r="43">
      <c r="B43" s="120"/>
      <c r="E43" s="120"/>
    </row>
    <row r="44">
      <c r="B44" s="120"/>
      <c r="E44" s="120"/>
    </row>
    <row r="45">
      <c r="B45" s="120"/>
      <c r="E45" s="120"/>
    </row>
    <row r="46">
      <c r="B46" s="120"/>
      <c r="E46" s="120"/>
    </row>
    <row r="47">
      <c r="B47" s="120"/>
      <c r="E47" s="120"/>
    </row>
    <row r="48">
      <c r="B48" s="120"/>
      <c r="E48" s="120"/>
    </row>
    <row r="49">
      <c r="B49" s="120"/>
      <c r="E49" s="120"/>
    </row>
    <row r="50">
      <c r="B50" s="120"/>
      <c r="E50" s="120"/>
    </row>
    <row r="51">
      <c r="B51" s="120"/>
      <c r="E51" s="120"/>
    </row>
    <row r="52">
      <c r="B52" s="120"/>
      <c r="E52" s="120"/>
    </row>
    <row r="53">
      <c r="B53" s="120"/>
      <c r="E53" s="120"/>
    </row>
    <row r="54">
      <c r="B54" s="120"/>
      <c r="E54" s="120"/>
    </row>
    <row r="55">
      <c r="B55" s="120"/>
      <c r="E55" s="120"/>
    </row>
    <row r="56">
      <c r="B56" s="120"/>
      <c r="E56" s="120"/>
    </row>
    <row r="57">
      <c r="B57" s="120"/>
      <c r="E57" s="120"/>
    </row>
    <row r="58">
      <c r="B58" s="120"/>
      <c r="E58" s="120"/>
    </row>
    <row r="59">
      <c r="B59" s="120"/>
      <c r="E59" s="120"/>
    </row>
    <row r="60">
      <c r="B60" s="120"/>
      <c r="E60" s="120"/>
    </row>
    <row r="61">
      <c r="B61" s="120"/>
      <c r="E61" s="120"/>
    </row>
    <row r="62">
      <c r="B62" s="120"/>
      <c r="E62" s="120"/>
    </row>
    <row r="63">
      <c r="B63" s="120"/>
      <c r="E63" s="120"/>
    </row>
    <row r="64">
      <c r="B64" s="120"/>
      <c r="E64" s="120"/>
    </row>
    <row r="65">
      <c r="B65" s="120"/>
      <c r="E65" s="120"/>
    </row>
    <row r="66">
      <c r="B66" s="120"/>
      <c r="E66" s="120"/>
    </row>
    <row r="67">
      <c r="B67" s="120"/>
      <c r="E67" s="120"/>
    </row>
    <row r="68">
      <c r="B68" s="120"/>
      <c r="E68" s="120"/>
    </row>
    <row r="69">
      <c r="B69" s="120"/>
      <c r="E69" s="120"/>
    </row>
    <row r="70">
      <c r="B70" s="120"/>
      <c r="E70" s="120"/>
    </row>
    <row r="71">
      <c r="B71" s="120"/>
      <c r="E71" s="120"/>
    </row>
    <row r="72">
      <c r="B72" s="120"/>
      <c r="E72" s="120"/>
    </row>
    <row r="73">
      <c r="B73" s="120"/>
      <c r="E73" s="120"/>
    </row>
    <row r="74">
      <c r="B74" s="120"/>
      <c r="E74" s="120"/>
    </row>
    <row r="75">
      <c r="B75" s="120"/>
      <c r="E75" s="120"/>
    </row>
    <row r="76">
      <c r="B76" s="120"/>
      <c r="E76" s="120"/>
    </row>
    <row r="77">
      <c r="B77" s="120"/>
      <c r="E77" s="120"/>
    </row>
    <row r="78">
      <c r="B78" s="120"/>
      <c r="E78" s="120"/>
    </row>
    <row r="79">
      <c r="B79" s="120"/>
      <c r="E79" s="120"/>
    </row>
    <row r="80">
      <c r="B80" s="120"/>
      <c r="E80" s="120"/>
    </row>
    <row r="81">
      <c r="B81" s="120"/>
      <c r="E81" s="120"/>
    </row>
    <row r="82">
      <c r="B82" s="120"/>
      <c r="E82" s="120"/>
    </row>
    <row r="83">
      <c r="B83" s="120"/>
      <c r="E83" s="120"/>
    </row>
    <row r="84">
      <c r="B84" s="120"/>
      <c r="E84" s="120"/>
    </row>
    <row r="85">
      <c r="B85" s="120"/>
      <c r="E85" s="120"/>
    </row>
    <row r="86">
      <c r="B86" s="120"/>
      <c r="E86" s="120"/>
    </row>
    <row r="87">
      <c r="B87" s="120"/>
      <c r="E87" s="120"/>
    </row>
    <row r="88">
      <c r="B88" s="120"/>
      <c r="E88" s="120"/>
    </row>
    <row r="89">
      <c r="B89" s="120"/>
      <c r="E89" s="120"/>
    </row>
    <row r="90">
      <c r="B90" s="120"/>
      <c r="E90" s="120"/>
    </row>
    <row r="91">
      <c r="B91" s="120"/>
      <c r="E91" s="120"/>
    </row>
    <row r="92">
      <c r="B92" s="120"/>
      <c r="E92" s="120"/>
    </row>
    <row r="93">
      <c r="B93" s="120"/>
      <c r="E93" s="120"/>
    </row>
    <row r="94">
      <c r="B94" s="120"/>
      <c r="E94" s="120"/>
    </row>
    <row r="95">
      <c r="B95" s="120"/>
      <c r="E95" s="120"/>
    </row>
    <row r="96">
      <c r="B96" s="120"/>
      <c r="E96" s="120"/>
    </row>
    <row r="97">
      <c r="B97" s="120"/>
      <c r="E97" s="120"/>
    </row>
    <row r="98">
      <c r="B98" s="120"/>
      <c r="E98" s="120"/>
    </row>
    <row r="99">
      <c r="B99" s="120"/>
      <c r="E99" s="120"/>
    </row>
    <row r="100">
      <c r="B100" s="120"/>
      <c r="E100" s="120"/>
    </row>
    <row r="101">
      <c r="B101" s="120"/>
      <c r="E101" s="120"/>
    </row>
    <row r="102">
      <c r="B102" s="120"/>
      <c r="E102" s="120"/>
    </row>
    <row r="103">
      <c r="B103" s="120"/>
      <c r="E103" s="120"/>
    </row>
    <row r="104">
      <c r="B104" s="120"/>
      <c r="E104" s="120"/>
    </row>
    <row r="105">
      <c r="B105" s="120"/>
      <c r="E105" s="120"/>
    </row>
    <row r="106">
      <c r="B106" s="120"/>
      <c r="E106" s="120"/>
    </row>
    <row r="107">
      <c r="B107" s="120"/>
      <c r="E107" s="120"/>
    </row>
    <row r="108">
      <c r="B108" s="120"/>
      <c r="E108" s="120"/>
    </row>
    <row r="109">
      <c r="B109" s="120"/>
      <c r="E109" s="120"/>
    </row>
    <row r="110">
      <c r="B110" s="120"/>
      <c r="E110" s="120"/>
    </row>
    <row r="111">
      <c r="B111" s="120"/>
      <c r="E111" s="120"/>
    </row>
    <row r="112">
      <c r="B112" s="120"/>
      <c r="E112" s="120"/>
    </row>
    <row r="113">
      <c r="B113" s="120"/>
      <c r="E113" s="120"/>
    </row>
    <row r="114">
      <c r="B114" s="120"/>
      <c r="E114" s="120"/>
    </row>
    <row r="115">
      <c r="B115" s="120"/>
      <c r="E115" s="120"/>
    </row>
    <row r="116">
      <c r="B116" s="120"/>
      <c r="E116" s="120"/>
    </row>
    <row r="117">
      <c r="B117" s="120"/>
      <c r="E117" s="120"/>
    </row>
    <row r="118">
      <c r="B118" s="120"/>
      <c r="E118" s="120"/>
    </row>
    <row r="119">
      <c r="B119" s="120"/>
      <c r="E119" s="120"/>
    </row>
    <row r="120">
      <c r="B120" s="120"/>
      <c r="E120" s="120"/>
    </row>
    <row r="121">
      <c r="B121" s="120"/>
      <c r="E121" s="120"/>
    </row>
    <row r="122">
      <c r="B122" s="120"/>
      <c r="E122" s="120"/>
    </row>
    <row r="123">
      <c r="B123" s="120"/>
      <c r="E123" s="120"/>
    </row>
    <row r="124">
      <c r="B124" s="120"/>
      <c r="E124" s="120"/>
    </row>
    <row r="125">
      <c r="B125" s="120"/>
      <c r="E125" s="120"/>
    </row>
    <row r="126">
      <c r="B126" s="120"/>
      <c r="E126" s="120"/>
    </row>
    <row r="127">
      <c r="B127" s="120"/>
      <c r="E127" s="120"/>
    </row>
    <row r="128">
      <c r="B128" s="120"/>
      <c r="E128" s="120"/>
    </row>
    <row r="129">
      <c r="B129" s="120"/>
      <c r="E129" s="120"/>
    </row>
    <row r="130">
      <c r="B130" s="120"/>
      <c r="E130" s="120"/>
    </row>
    <row r="131">
      <c r="B131" s="120"/>
      <c r="E131" s="120"/>
    </row>
    <row r="132">
      <c r="B132" s="120"/>
      <c r="E132" s="120"/>
    </row>
    <row r="133">
      <c r="B133" s="120"/>
      <c r="E133" s="120"/>
    </row>
    <row r="134">
      <c r="B134" s="120"/>
      <c r="E134" s="120"/>
    </row>
    <row r="135">
      <c r="B135" s="120"/>
      <c r="E135" s="120"/>
    </row>
    <row r="136">
      <c r="B136" s="120"/>
      <c r="E136" s="120"/>
    </row>
    <row r="137">
      <c r="B137" s="120"/>
      <c r="E137" s="120"/>
    </row>
    <row r="138">
      <c r="B138" s="120"/>
      <c r="E138" s="120"/>
    </row>
    <row r="139">
      <c r="B139" s="120"/>
      <c r="E139" s="120"/>
    </row>
    <row r="140">
      <c r="B140" s="120"/>
      <c r="E140" s="120"/>
    </row>
    <row r="141">
      <c r="B141" s="120"/>
      <c r="E141" s="120"/>
    </row>
    <row r="142">
      <c r="B142" s="120"/>
      <c r="E142" s="120"/>
    </row>
    <row r="143">
      <c r="B143" s="120"/>
      <c r="E143" s="120"/>
    </row>
    <row r="144">
      <c r="B144" s="120"/>
      <c r="E144" s="120"/>
    </row>
    <row r="145">
      <c r="B145" s="120"/>
      <c r="E145" s="120"/>
    </row>
    <row r="146">
      <c r="B146" s="120"/>
      <c r="E146" s="120"/>
    </row>
    <row r="147">
      <c r="B147" s="120"/>
      <c r="E147" s="120"/>
    </row>
    <row r="148">
      <c r="B148" s="120"/>
      <c r="E148" s="120"/>
    </row>
    <row r="149">
      <c r="B149" s="120"/>
      <c r="E149" s="120"/>
    </row>
    <row r="150">
      <c r="B150" s="120"/>
      <c r="E150" s="120"/>
    </row>
    <row r="151">
      <c r="B151" s="120"/>
      <c r="E151" s="120"/>
    </row>
    <row r="152">
      <c r="B152" s="120"/>
      <c r="E152" s="120"/>
    </row>
    <row r="153">
      <c r="B153" s="120"/>
      <c r="E153" s="120"/>
    </row>
    <row r="154">
      <c r="B154" s="120"/>
      <c r="E154" s="120"/>
    </row>
    <row r="155">
      <c r="B155" s="120"/>
      <c r="E155" s="120"/>
    </row>
    <row r="156">
      <c r="B156" s="120"/>
      <c r="E156" s="120"/>
    </row>
    <row r="157">
      <c r="B157" s="120"/>
      <c r="E157" s="120"/>
    </row>
    <row r="158">
      <c r="B158" s="120"/>
      <c r="E158" s="120"/>
    </row>
    <row r="159">
      <c r="B159" s="120"/>
      <c r="E159" s="120"/>
    </row>
    <row r="160">
      <c r="B160" s="120"/>
      <c r="E160" s="120"/>
    </row>
    <row r="161">
      <c r="B161" s="120"/>
      <c r="E161" s="120"/>
    </row>
    <row r="162">
      <c r="B162" s="120"/>
      <c r="E162" s="120"/>
    </row>
    <row r="163">
      <c r="B163" s="120"/>
      <c r="E163" s="120"/>
    </row>
    <row r="164">
      <c r="B164" s="120"/>
      <c r="E164" s="120"/>
    </row>
    <row r="165">
      <c r="B165" s="120"/>
      <c r="E165" s="120"/>
    </row>
    <row r="166">
      <c r="B166" s="120"/>
      <c r="E166" s="120"/>
    </row>
    <row r="167">
      <c r="B167" s="120"/>
      <c r="E167" s="120"/>
    </row>
    <row r="168">
      <c r="B168" s="120"/>
      <c r="E168" s="120"/>
    </row>
    <row r="169">
      <c r="B169" s="120"/>
      <c r="E169" s="120"/>
    </row>
    <row r="170">
      <c r="B170" s="120"/>
      <c r="E170" s="120"/>
    </row>
    <row r="171">
      <c r="B171" s="120"/>
      <c r="E171" s="120"/>
    </row>
    <row r="172">
      <c r="B172" s="120"/>
      <c r="E172" s="120"/>
    </row>
    <row r="173">
      <c r="B173" s="120"/>
      <c r="E173" s="120"/>
    </row>
    <row r="174">
      <c r="B174" s="120"/>
      <c r="E174" s="120"/>
    </row>
    <row r="175">
      <c r="B175" s="120"/>
      <c r="E175" s="120"/>
    </row>
    <row r="176">
      <c r="B176" s="120"/>
      <c r="E176" s="120"/>
    </row>
    <row r="177">
      <c r="B177" s="120"/>
      <c r="E177" s="120"/>
    </row>
    <row r="178">
      <c r="B178" s="120"/>
      <c r="E178" s="120"/>
    </row>
    <row r="179">
      <c r="B179" s="120"/>
      <c r="E179" s="120"/>
    </row>
    <row r="180">
      <c r="B180" s="120"/>
      <c r="E180" s="120"/>
    </row>
    <row r="181">
      <c r="B181" s="120"/>
      <c r="E181" s="120"/>
    </row>
    <row r="182">
      <c r="B182" s="120"/>
      <c r="E182" s="120"/>
    </row>
    <row r="183">
      <c r="B183" s="120"/>
      <c r="E183" s="120"/>
    </row>
    <row r="184">
      <c r="B184" s="120"/>
      <c r="E184" s="120"/>
    </row>
    <row r="185">
      <c r="B185" s="120"/>
      <c r="E185" s="120"/>
    </row>
    <row r="186">
      <c r="B186" s="120"/>
      <c r="E186" s="120"/>
    </row>
    <row r="187">
      <c r="B187" s="120"/>
      <c r="E187" s="120"/>
    </row>
    <row r="188">
      <c r="B188" s="120"/>
      <c r="E188" s="120"/>
    </row>
    <row r="189">
      <c r="B189" s="120"/>
      <c r="E189" s="120"/>
    </row>
    <row r="190">
      <c r="B190" s="120"/>
      <c r="E190" s="120"/>
    </row>
    <row r="191">
      <c r="B191" s="120"/>
      <c r="E191" s="120"/>
    </row>
    <row r="192">
      <c r="B192" s="120"/>
      <c r="E192" s="120"/>
    </row>
    <row r="193">
      <c r="B193" s="120"/>
      <c r="E193" s="120"/>
    </row>
    <row r="194">
      <c r="B194" s="120"/>
      <c r="E194" s="120"/>
    </row>
    <row r="195">
      <c r="B195" s="120"/>
      <c r="E195" s="120"/>
    </row>
    <row r="196">
      <c r="B196" s="120"/>
      <c r="E196" s="120"/>
    </row>
    <row r="197">
      <c r="B197" s="120"/>
      <c r="E197" s="120"/>
    </row>
    <row r="198">
      <c r="B198" s="120"/>
      <c r="E198" s="120"/>
    </row>
    <row r="199">
      <c r="B199" s="120"/>
      <c r="E199" s="120"/>
    </row>
    <row r="200">
      <c r="B200" s="120"/>
      <c r="E200" s="120"/>
    </row>
    <row r="201">
      <c r="B201" s="120"/>
      <c r="E201" s="120"/>
    </row>
    <row r="202">
      <c r="B202" s="120"/>
      <c r="E202" s="120"/>
    </row>
    <row r="203">
      <c r="B203" s="120"/>
      <c r="E203" s="120"/>
    </row>
    <row r="204">
      <c r="B204" s="120"/>
      <c r="E204" s="120"/>
    </row>
    <row r="205">
      <c r="B205" s="120"/>
      <c r="E205" s="120"/>
    </row>
    <row r="206">
      <c r="B206" s="120"/>
      <c r="E206" s="120"/>
    </row>
    <row r="207">
      <c r="B207" s="120"/>
      <c r="E207" s="120"/>
    </row>
    <row r="208">
      <c r="B208" s="120"/>
      <c r="E208" s="120"/>
    </row>
    <row r="209">
      <c r="B209" s="120"/>
      <c r="E209" s="120"/>
    </row>
    <row r="210">
      <c r="B210" s="120"/>
      <c r="E210" s="120"/>
    </row>
    <row r="211">
      <c r="B211" s="120"/>
      <c r="E211" s="120"/>
    </row>
    <row r="212">
      <c r="B212" s="120"/>
      <c r="E212" s="120"/>
    </row>
    <row r="213">
      <c r="B213" s="120"/>
      <c r="E213" s="120"/>
    </row>
    <row r="214">
      <c r="B214" s="120"/>
      <c r="E214" s="120"/>
    </row>
    <row r="215">
      <c r="B215" s="120"/>
      <c r="E215" s="120"/>
    </row>
    <row r="216">
      <c r="B216" s="120"/>
      <c r="E216" s="120"/>
    </row>
    <row r="217">
      <c r="B217" s="120"/>
      <c r="E217" s="120"/>
    </row>
    <row r="218">
      <c r="B218" s="120"/>
      <c r="E218" s="120"/>
    </row>
    <row r="219">
      <c r="B219" s="120"/>
      <c r="E219" s="120"/>
    </row>
    <row r="220">
      <c r="B220" s="120"/>
      <c r="E220" s="120"/>
    </row>
    <row r="221">
      <c r="B221" s="120"/>
      <c r="E221" s="120"/>
    </row>
    <row r="222">
      <c r="B222" s="120"/>
      <c r="E222" s="120"/>
    </row>
    <row r="223">
      <c r="B223" s="120"/>
      <c r="E223" s="120"/>
    </row>
    <row r="224">
      <c r="B224" s="120"/>
      <c r="E224" s="120"/>
    </row>
    <row r="225">
      <c r="B225" s="120"/>
      <c r="E225" s="120"/>
    </row>
    <row r="226">
      <c r="B226" s="120"/>
      <c r="E226" s="120"/>
    </row>
    <row r="227">
      <c r="B227" s="120"/>
      <c r="E227" s="120"/>
    </row>
    <row r="228">
      <c r="B228" s="120"/>
      <c r="E228" s="120"/>
    </row>
    <row r="229">
      <c r="B229" s="120"/>
      <c r="E229" s="120"/>
    </row>
    <row r="230">
      <c r="B230" s="120"/>
      <c r="E230" s="120"/>
    </row>
    <row r="231">
      <c r="B231" s="120"/>
      <c r="E231" s="120"/>
    </row>
    <row r="232">
      <c r="B232" s="120"/>
      <c r="E232" s="120"/>
    </row>
    <row r="233">
      <c r="B233" s="120"/>
      <c r="E233" s="120"/>
    </row>
    <row r="234">
      <c r="B234" s="120"/>
      <c r="E234" s="120"/>
    </row>
    <row r="235">
      <c r="B235" s="120"/>
      <c r="E235" s="120"/>
    </row>
    <row r="236">
      <c r="B236" s="120"/>
      <c r="E236" s="120"/>
    </row>
    <row r="237">
      <c r="B237" s="120"/>
      <c r="E237" s="120"/>
    </row>
    <row r="238">
      <c r="B238" s="120"/>
      <c r="E238" s="120"/>
    </row>
    <row r="239">
      <c r="B239" s="120"/>
      <c r="E239" s="120"/>
    </row>
    <row r="240">
      <c r="B240" s="120"/>
      <c r="E240" s="120"/>
    </row>
    <row r="241">
      <c r="B241" s="120"/>
      <c r="E241" s="120"/>
    </row>
    <row r="242">
      <c r="B242" s="120"/>
      <c r="E242" s="120"/>
    </row>
    <row r="243">
      <c r="B243" s="120"/>
      <c r="E243" s="120"/>
    </row>
    <row r="244">
      <c r="B244" s="120"/>
      <c r="E244" s="120"/>
    </row>
    <row r="245">
      <c r="B245" s="120"/>
      <c r="E245" s="120"/>
    </row>
    <row r="246">
      <c r="B246" s="120"/>
      <c r="E246" s="120"/>
    </row>
    <row r="247">
      <c r="B247" s="120"/>
      <c r="E247" s="120"/>
    </row>
    <row r="248">
      <c r="B248" s="120"/>
      <c r="E248" s="120"/>
    </row>
    <row r="249">
      <c r="B249" s="120"/>
      <c r="E249" s="120"/>
    </row>
    <row r="250">
      <c r="B250" s="120"/>
      <c r="E250" s="120"/>
    </row>
    <row r="251">
      <c r="B251" s="120"/>
      <c r="E251" s="120"/>
    </row>
    <row r="252">
      <c r="B252" s="120"/>
      <c r="E252" s="120"/>
    </row>
    <row r="253">
      <c r="B253" s="120"/>
      <c r="E253" s="120"/>
    </row>
    <row r="254">
      <c r="B254" s="120"/>
      <c r="E254" s="120"/>
    </row>
    <row r="255">
      <c r="B255" s="120"/>
      <c r="E255" s="120"/>
    </row>
    <row r="256">
      <c r="B256" s="120"/>
      <c r="E256" s="120"/>
    </row>
    <row r="257">
      <c r="B257" s="120"/>
      <c r="E257" s="120"/>
    </row>
    <row r="258">
      <c r="B258" s="120"/>
      <c r="E258" s="120"/>
    </row>
    <row r="259">
      <c r="B259" s="120"/>
      <c r="E259" s="120"/>
    </row>
    <row r="260">
      <c r="B260" s="120"/>
      <c r="E260" s="120"/>
    </row>
    <row r="261">
      <c r="B261" s="120"/>
      <c r="E261" s="120"/>
    </row>
    <row r="262">
      <c r="B262" s="120"/>
      <c r="E262" s="120"/>
    </row>
    <row r="263">
      <c r="B263" s="120"/>
      <c r="E263" s="120"/>
    </row>
    <row r="264">
      <c r="B264" s="120"/>
      <c r="E264" s="120"/>
    </row>
    <row r="265">
      <c r="B265" s="120"/>
      <c r="E265" s="120"/>
    </row>
    <row r="266">
      <c r="B266" s="120"/>
      <c r="E266" s="120"/>
    </row>
    <row r="267">
      <c r="B267" s="120"/>
      <c r="E267" s="120"/>
    </row>
    <row r="268">
      <c r="B268" s="120"/>
      <c r="E268" s="120"/>
    </row>
    <row r="269">
      <c r="B269" s="120"/>
      <c r="E269" s="120"/>
    </row>
    <row r="270">
      <c r="B270" s="120"/>
      <c r="E270" s="120"/>
    </row>
    <row r="271">
      <c r="B271" s="120"/>
      <c r="E271" s="120"/>
    </row>
    <row r="272">
      <c r="B272" s="120"/>
      <c r="E272" s="120"/>
    </row>
    <row r="273">
      <c r="B273" s="120"/>
      <c r="E273" s="120"/>
    </row>
    <row r="274">
      <c r="B274" s="120"/>
      <c r="E274" s="120"/>
    </row>
    <row r="275">
      <c r="B275" s="120"/>
      <c r="E275" s="120"/>
    </row>
    <row r="276">
      <c r="B276" s="120"/>
      <c r="E276" s="120"/>
    </row>
    <row r="277">
      <c r="B277" s="120"/>
      <c r="E277" s="120"/>
    </row>
    <row r="278">
      <c r="B278" s="120"/>
      <c r="E278" s="120"/>
    </row>
    <row r="279">
      <c r="B279" s="120"/>
      <c r="E279" s="120"/>
    </row>
    <row r="280">
      <c r="B280" s="120"/>
      <c r="E280" s="120"/>
    </row>
    <row r="281">
      <c r="B281" s="120"/>
      <c r="E281" s="120"/>
    </row>
    <row r="282">
      <c r="B282" s="120"/>
      <c r="E282" s="120"/>
    </row>
    <row r="283">
      <c r="B283" s="120"/>
      <c r="E283" s="120"/>
    </row>
    <row r="284">
      <c r="B284" s="120"/>
      <c r="E284" s="120"/>
    </row>
    <row r="285">
      <c r="B285" s="120"/>
      <c r="E285" s="120"/>
    </row>
    <row r="286">
      <c r="B286" s="120"/>
      <c r="E286" s="120"/>
    </row>
    <row r="287">
      <c r="B287" s="120"/>
      <c r="E287" s="120"/>
    </row>
    <row r="288">
      <c r="B288" s="120"/>
      <c r="E288" s="120"/>
    </row>
    <row r="289">
      <c r="B289" s="120"/>
      <c r="E289" s="120"/>
    </row>
    <row r="290">
      <c r="B290" s="120"/>
      <c r="E290" s="120"/>
    </row>
    <row r="291">
      <c r="B291" s="120"/>
      <c r="E291" s="120"/>
    </row>
    <row r="292">
      <c r="B292" s="120"/>
      <c r="E292" s="120"/>
    </row>
    <row r="293">
      <c r="B293" s="120"/>
      <c r="E293" s="120"/>
    </row>
    <row r="294">
      <c r="B294" s="120"/>
      <c r="E294" s="120"/>
    </row>
    <row r="295">
      <c r="B295" s="120"/>
      <c r="E295" s="120"/>
    </row>
    <row r="296">
      <c r="B296" s="120"/>
      <c r="E296" s="120"/>
    </row>
    <row r="297">
      <c r="B297" s="120"/>
      <c r="E297" s="120"/>
    </row>
    <row r="298">
      <c r="B298" s="120"/>
      <c r="E298" s="120"/>
    </row>
    <row r="299">
      <c r="B299" s="120"/>
      <c r="E299" s="120"/>
    </row>
    <row r="300">
      <c r="B300" s="120"/>
      <c r="E300" s="120"/>
    </row>
    <row r="301">
      <c r="B301" s="120"/>
      <c r="E301" s="120"/>
    </row>
    <row r="302">
      <c r="B302" s="120"/>
      <c r="E302" s="120"/>
    </row>
    <row r="303">
      <c r="B303" s="120"/>
      <c r="E303" s="120"/>
    </row>
    <row r="304">
      <c r="B304" s="120"/>
      <c r="E304" s="120"/>
    </row>
    <row r="305">
      <c r="B305" s="120"/>
      <c r="E305" s="120"/>
    </row>
    <row r="306">
      <c r="B306" s="120"/>
      <c r="E306" s="120"/>
    </row>
    <row r="307">
      <c r="B307" s="120"/>
      <c r="E307" s="120"/>
    </row>
    <row r="308">
      <c r="B308" s="120"/>
      <c r="E308" s="120"/>
    </row>
    <row r="309">
      <c r="B309" s="120"/>
      <c r="E309" s="120"/>
    </row>
    <row r="310">
      <c r="B310" s="120"/>
      <c r="E310" s="120"/>
    </row>
    <row r="311">
      <c r="B311" s="120"/>
      <c r="E311" s="120"/>
    </row>
    <row r="312">
      <c r="B312" s="120"/>
      <c r="E312" s="120"/>
    </row>
    <row r="313">
      <c r="B313" s="120"/>
      <c r="E313" s="120"/>
    </row>
    <row r="314">
      <c r="B314" s="120"/>
      <c r="E314" s="120"/>
    </row>
    <row r="315">
      <c r="B315" s="120"/>
      <c r="E315" s="120"/>
    </row>
    <row r="316">
      <c r="B316" s="120"/>
      <c r="E316" s="120"/>
    </row>
    <row r="317">
      <c r="B317" s="120"/>
      <c r="E317" s="120"/>
    </row>
    <row r="318">
      <c r="B318" s="120"/>
      <c r="E318" s="120"/>
    </row>
    <row r="319">
      <c r="B319" s="120"/>
      <c r="E319" s="120"/>
    </row>
    <row r="320">
      <c r="B320" s="120"/>
      <c r="E320" s="120"/>
    </row>
    <row r="321">
      <c r="B321" s="120"/>
      <c r="E321" s="120"/>
    </row>
    <row r="322">
      <c r="B322" s="120"/>
      <c r="E322" s="120"/>
    </row>
    <row r="323">
      <c r="B323" s="120"/>
      <c r="E323" s="120"/>
    </row>
    <row r="324">
      <c r="B324" s="120"/>
      <c r="E324" s="120"/>
    </row>
    <row r="325">
      <c r="B325" s="120"/>
      <c r="E325" s="120"/>
    </row>
    <row r="326">
      <c r="B326" s="120"/>
      <c r="E326" s="120"/>
    </row>
    <row r="327">
      <c r="B327" s="120"/>
      <c r="E327" s="120"/>
    </row>
    <row r="328">
      <c r="B328" s="120"/>
      <c r="E328" s="120"/>
    </row>
    <row r="329">
      <c r="B329" s="120"/>
      <c r="E329" s="120"/>
    </row>
    <row r="330">
      <c r="B330" s="120"/>
      <c r="E330" s="120"/>
    </row>
    <row r="331">
      <c r="B331" s="120"/>
      <c r="E331" s="120"/>
    </row>
    <row r="332">
      <c r="B332" s="120"/>
      <c r="E332" s="120"/>
    </row>
    <row r="333">
      <c r="B333" s="120"/>
      <c r="E333" s="120"/>
    </row>
    <row r="334">
      <c r="B334" s="120"/>
      <c r="E334" s="120"/>
    </row>
    <row r="335">
      <c r="B335" s="120"/>
      <c r="E335" s="120"/>
    </row>
    <row r="336">
      <c r="B336" s="120"/>
      <c r="E336" s="120"/>
    </row>
    <row r="337">
      <c r="B337" s="120"/>
      <c r="E337" s="120"/>
    </row>
    <row r="338">
      <c r="B338" s="120"/>
      <c r="E338" s="120"/>
    </row>
    <row r="339">
      <c r="B339" s="120"/>
      <c r="E339" s="120"/>
    </row>
    <row r="340">
      <c r="B340" s="120"/>
      <c r="E340" s="120"/>
    </row>
    <row r="341">
      <c r="B341" s="120"/>
      <c r="E341" s="120"/>
    </row>
    <row r="342">
      <c r="B342" s="120"/>
      <c r="E342" s="120"/>
    </row>
    <row r="343">
      <c r="B343" s="120"/>
      <c r="E343" s="120"/>
    </row>
    <row r="344">
      <c r="B344" s="120"/>
      <c r="E344" s="120"/>
    </row>
    <row r="345">
      <c r="B345" s="120"/>
      <c r="E345" s="120"/>
    </row>
    <row r="346">
      <c r="B346" s="120"/>
      <c r="E346" s="120"/>
    </row>
    <row r="347">
      <c r="B347" s="120"/>
      <c r="E347" s="120"/>
    </row>
    <row r="348">
      <c r="B348" s="120"/>
      <c r="E348" s="120"/>
    </row>
    <row r="349">
      <c r="B349" s="120"/>
      <c r="E349" s="120"/>
    </row>
    <row r="350">
      <c r="B350" s="120"/>
      <c r="E350" s="120"/>
    </row>
    <row r="351">
      <c r="B351" s="120"/>
      <c r="E351" s="120"/>
    </row>
    <row r="352">
      <c r="B352" s="120"/>
      <c r="E352" s="120"/>
    </row>
    <row r="353">
      <c r="B353" s="120"/>
      <c r="E353" s="120"/>
    </row>
    <row r="354">
      <c r="B354" s="120"/>
      <c r="E354" s="120"/>
    </row>
    <row r="355">
      <c r="B355" s="120"/>
      <c r="E355" s="120"/>
    </row>
    <row r="356">
      <c r="B356" s="120"/>
      <c r="E356" s="120"/>
    </row>
    <row r="357">
      <c r="B357" s="120"/>
      <c r="E357" s="120"/>
    </row>
    <row r="358">
      <c r="B358" s="120"/>
      <c r="E358" s="120"/>
    </row>
    <row r="359">
      <c r="B359" s="120"/>
      <c r="E359" s="120"/>
    </row>
    <row r="360">
      <c r="B360" s="120"/>
      <c r="E360" s="120"/>
    </row>
    <row r="361">
      <c r="B361" s="120"/>
      <c r="E361" s="120"/>
    </row>
    <row r="362">
      <c r="B362" s="120"/>
      <c r="E362" s="120"/>
    </row>
    <row r="363">
      <c r="B363" s="120"/>
      <c r="E363" s="120"/>
    </row>
    <row r="364">
      <c r="B364" s="120"/>
      <c r="E364" s="120"/>
    </row>
    <row r="365">
      <c r="B365" s="120"/>
      <c r="E365" s="120"/>
    </row>
    <row r="366">
      <c r="B366" s="120"/>
      <c r="E366" s="120"/>
    </row>
    <row r="367">
      <c r="B367" s="120"/>
      <c r="E367" s="120"/>
    </row>
    <row r="368">
      <c r="B368" s="120"/>
      <c r="E368" s="120"/>
    </row>
    <row r="369">
      <c r="B369" s="120"/>
      <c r="E369" s="120"/>
    </row>
    <row r="370">
      <c r="B370" s="120"/>
      <c r="E370" s="120"/>
    </row>
    <row r="371">
      <c r="B371" s="120"/>
      <c r="E371" s="120"/>
    </row>
    <row r="372">
      <c r="B372" s="120"/>
      <c r="E372" s="120"/>
    </row>
    <row r="373">
      <c r="B373" s="120"/>
      <c r="E373" s="120"/>
    </row>
    <row r="374">
      <c r="B374" s="120"/>
      <c r="E374" s="120"/>
    </row>
    <row r="375">
      <c r="B375" s="120"/>
      <c r="E375" s="120"/>
    </row>
    <row r="376">
      <c r="B376" s="120"/>
      <c r="E376" s="120"/>
    </row>
    <row r="377">
      <c r="B377" s="120"/>
      <c r="E377" s="120"/>
    </row>
    <row r="378">
      <c r="B378" s="120"/>
      <c r="E378" s="120"/>
    </row>
    <row r="379">
      <c r="B379" s="120"/>
      <c r="E379" s="120"/>
    </row>
    <row r="380">
      <c r="B380" s="120"/>
      <c r="E380" s="120"/>
    </row>
    <row r="381">
      <c r="B381" s="120"/>
      <c r="E381" s="120"/>
    </row>
    <row r="382">
      <c r="B382" s="120"/>
      <c r="E382" s="120"/>
    </row>
    <row r="383">
      <c r="B383" s="120"/>
      <c r="E383" s="120"/>
    </row>
    <row r="384">
      <c r="B384" s="120"/>
      <c r="E384" s="120"/>
    </row>
    <row r="385">
      <c r="B385" s="120"/>
      <c r="E385" s="120"/>
    </row>
    <row r="386">
      <c r="B386" s="120"/>
      <c r="E386" s="120"/>
    </row>
    <row r="387">
      <c r="B387" s="120"/>
      <c r="E387" s="120"/>
    </row>
    <row r="388">
      <c r="B388" s="120"/>
      <c r="E388" s="120"/>
    </row>
    <row r="389">
      <c r="B389" s="120"/>
      <c r="E389" s="120"/>
    </row>
    <row r="390">
      <c r="B390" s="120"/>
      <c r="E390" s="120"/>
    </row>
    <row r="391">
      <c r="B391" s="120"/>
      <c r="E391" s="120"/>
    </row>
    <row r="392">
      <c r="B392" s="120"/>
      <c r="E392" s="120"/>
    </row>
    <row r="393">
      <c r="B393" s="120"/>
      <c r="E393" s="120"/>
    </row>
    <row r="394">
      <c r="B394" s="120"/>
      <c r="E394" s="120"/>
    </row>
    <row r="395">
      <c r="B395" s="120"/>
      <c r="E395" s="120"/>
    </row>
    <row r="396">
      <c r="B396" s="120"/>
      <c r="E396" s="120"/>
    </row>
    <row r="397">
      <c r="B397" s="120"/>
      <c r="E397" s="120"/>
    </row>
    <row r="398">
      <c r="B398" s="120"/>
      <c r="E398" s="120"/>
    </row>
    <row r="399">
      <c r="B399" s="120"/>
      <c r="E399" s="120"/>
    </row>
    <row r="400">
      <c r="B400" s="120"/>
      <c r="E400" s="120"/>
    </row>
    <row r="401">
      <c r="B401" s="120"/>
      <c r="E401" s="120"/>
    </row>
    <row r="402">
      <c r="B402" s="120"/>
      <c r="E402" s="120"/>
    </row>
    <row r="403">
      <c r="B403" s="120"/>
      <c r="E403" s="120"/>
    </row>
    <row r="404">
      <c r="B404" s="120"/>
      <c r="E404" s="120"/>
    </row>
    <row r="405">
      <c r="B405" s="120"/>
      <c r="E405" s="120"/>
    </row>
    <row r="406">
      <c r="B406" s="120"/>
      <c r="E406" s="120"/>
    </row>
    <row r="407">
      <c r="B407" s="120"/>
      <c r="E407" s="120"/>
    </row>
    <row r="408">
      <c r="B408" s="120"/>
      <c r="E408" s="120"/>
    </row>
    <row r="409">
      <c r="B409" s="120"/>
      <c r="E409" s="120"/>
    </row>
    <row r="410">
      <c r="B410" s="120"/>
      <c r="E410" s="120"/>
    </row>
    <row r="411">
      <c r="B411" s="120"/>
      <c r="E411" s="120"/>
    </row>
    <row r="412">
      <c r="B412" s="120"/>
      <c r="E412" s="120"/>
    </row>
    <row r="413">
      <c r="B413" s="120"/>
      <c r="E413" s="120"/>
    </row>
    <row r="414">
      <c r="B414" s="120"/>
      <c r="E414" s="120"/>
    </row>
    <row r="415">
      <c r="B415" s="120"/>
      <c r="E415" s="120"/>
    </row>
    <row r="416">
      <c r="B416" s="120"/>
      <c r="E416" s="120"/>
    </row>
    <row r="417">
      <c r="B417" s="120"/>
      <c r="E417" s="120"/>
    </row>
    <row r="418">
      <c r="B418" s="120"/>
      <c r="E418" s="120"/>
    </row>
    <row r="419">
      <c r="B419" s="120"/>
      <c r="E419" s="120"/>
    </row>
    <row r="420">
      <c r="B420" s="120"/>
      <c r="E420" s="120"/>
    </row>
    <row r="421">
      <c r="B421" s="120"/>
      <c r="E421" s="120"/>
    </row>
    <row r="422">
      <c r="B422" s="120"/>
      <c r="E422" s="120"/>
    </row>
    <row r="423">
      <c r="B423" s="120"/>
      <c r="E423" s="120"/>
    </row>
    <row r="424">
      <c r="B424" s="120"/>
      <c r="E424" s="120"/>
    </row>
    <row r="425">
      <c r="B425" s="120"/>
      <c r="E425" s="120"/>
    </row>
    <row r="426">
      <c r="B426" s="120"/>
      <c r="E426" s="120"/>
    </row>
    <row r="427">
      <c r="B427" s="120"/>
      <c r="E427" s="120"/>
    </row>
    <row r="428">
      <c r="B428" s="120"/>
      <c r="E428" s="120"/>
    </row>
    <row r="429">
      <c r="B429" s="120"/>
      <c r="E429" s="120"/>
    </row>
    <row r="430">
      <c r="B430" s="120"/>
      <c r="E430" s="120"/>
    </row>
    <row r="431">
      <c r="B431" s="120"/>
      <c r="E431" s="120"/>
    </row>
    <row r="432">
      <c r="B432" s="120"/>
      <c r="E432" s="120"/>
    </row>
    <row r="433">
      <c r="B433" s="120"/>
      <c r="E433" s="120"/>
    </row>
    <row r="434">
      <c r="B434" s="120"/>
      <c r="E434" s="120"/>
    </row>
    <row r="435">
      <c r="B435" s="120"/>
      <c r="E435" s="120"/>
    </row>
    <row r="436">
      <c r="B436" s="120"/>
      <c r="E436" s="120"/>
    </row>
    <row r="437">
      <c r="B437" s="120"/>
      <c r="E437" s="120"/>
    </row>
    <row r="438">
      <c r="B438" s="120"/>
      <c r="E438" s="120"/>
    </row>
    <row r="439">
      <c r="B439" s="120"/>
      <c r="E439" s="120"/>
    </row>
    <row r="440">
      <c r="B440" s="120"/>
      <c r="E440" s="120"/>
    </row>
    <row r="441">
      <c r="B441" s="120"/>
      <c r="E441" s="120"/>
    </row>
    <row r="442">
      <c r="B442" s="120"/>
      <c r="E442" s="120"/>
    </row>
    <row r="443">
      <c r="B443" s="120"/>
      <c r="E443" s="120"/>
    </row>
    <row r="444">
      <c r="B444" s="120"/>
      <c r="E444" s="120"/>
    </row>
    <row r="445">
      <c r="B445" s="120"/>
      <c r="E445" s="120"/>
    </row>
    <row r="446">
      <c r="B446" s="120"/>
      <c r="E446" s="120"/>
    </row>
    <row r="447">
      <c r="B447" s="120"/>
      <c r="E447" s="120"/>
    </row>
    <row r="448">
      <c r="B448" s="120"/>
      <c r="E448" s="120"/>
    </row>
    <row r="449">
      <c r="B449" s="120"/>
      <c r="E449" s="120"/>
    </row>
    <row r="450">
      <c r="B450" s="120"/>
      <c r="E450" s="120"/>
    </row>
    <row r="451">
      <c r="B451" s="120"/>
      <c r="E451" s="120"/>
    </row>
    <row r="452">
      <c r="B452" s="120"/>
      <c r="E452" s="120"/>
    </row>
    <row r="453">
      <c r="B453" s="120"/>
      <c r="E453" s="120"/>
    </row>
    <row r="454">
      <c r="B454" s="120"/>
      <c r="E454" s="120"/>
    </row>
    <row r="455">
      <c r="B455" s="120"/>
      <c r="E455" s="120"/>
    </row>
    <row r="456">
      <c r="B456" s="120"/>
      <c r="E456" s="120"/>
    </row>
    <row r="457">
      <c r="B457" s="120"/>
      <c r="E457" s="120"/>
    </row>
    <row r="458">
      <c r="B458" s="120"/>
      <c r="E458" s="120"/>
    </row>
    <row r="459">
      <c r="B459" s="120"/>
      <c r="E459" s="120"/>
    </row>
    <row r="460">
      <c r="B460" s="120"/>
      <c r="E460" s="120"/>
    </row>
    <row r="461">
      <c r="B461" s="120"/>
      <c r="E461" s="120"/>
    </row>
    <row r="462">
      <c r="B462" s="120"/>
      <c r="E462" s="120"/>
    </row>
    <row r="463">
      <c r="B463" s="120"/>
      <c r="E463" s="120"/>
    </row>
    <row r="464">
      <c r="B464" s="120"/>
      <c r="E464" s="120"/>
    </row>
    <row r="465">
      <c r="B465" s="120"/>
      <c r="E465" s="120"/>
    </row>
    <row r="466">
      <c r="B466" s="120"/>
      <c r="E466" s="120"/>
    </row>
    <row r="467">
      <c r="B467" s="120"/>
      <c r="E467" s="120"/>
    </row>
    <row r="468">
      <c r="B468" s="120"/>
      <c r="E468" s="120"/>
    </row>
    <row r="469">
      <c r="B469" s="120"/>
      <c r="E469" s="120"/>
    </row>
    <row r="470">
      <c r="B470" s="120"/>
      <c r="E470" s="120"/>
    </row>
    <row r="471">
      <c r="B471" s="120"/>
      <c r="E471" s="120"/>
    </row>
    <row r="472">
      <c r="B472" s="120"/>
      <c r="E472" s="120"/>
    </row>
    <row r="473">
      <c r="B473" s="120"/>
      <c r="E473" s="120"/>
    </row>
    <row r="474">
      <c r="B474" s="120"/>
      <c r="E474" s="120"/>
    </row>
    <row r="475">
      <c r="B475" s="120"/>
      <c r="E475" s="120"/>
    </row>
    <row r="476">
      <c r="B476" s="120"/>
      <c r="E476" s="120"/>
    </row>
    <row r="477">
      <c r="B477" s="120"/>
      <c r="E477" s="120"/>
    </row>
    <row r="478">
      <c r="B478" s="120"/>
      <c r="E478" s="120"/>
    </row>
    <row r="479">
      <c r="B479" s="120"/>
      <c r="E479" s="120"/>
    </row>
    <row r="480">
      <c r="B480" s="120"/>
      <c r="E480" s="120"/>
    </row>
    <row r="481">
      <c r="B481" s="120"/>
      <c r="E481" s="120"/>
    </row>
    <row r="482">
      <c r="B482" s="120"/>
      <c r="E482" s="120"/>
    </row>
    <row r="483">
      <c r="B483" s="120"/>
      <c r="E483" s="120"/>
    </row>
    <row r="484">
      <c r="B484" s="120"/>
      <c r="E484" s="120"/>
    </row>
    <row r="485">
      <c r="B485" s="120"/>
      <c r="E485" s="120"/>
    </row>
    <row r="486">
      <c r="B486" s="120"/>
      <c r="E486" s="120"/>
    </row>
    <row r="487">
      <c r="B487" s="120"/>
      <c r="E487" s="120"/>
    </row>
    <row r="488">
      <c r="B488" s="120"/>
      <c r="E488" s="120"/>
    </row>
    <row r="489">
      <c r="B489" s="120"/>
      <c r="E489" s="120"/>
    </row>
    <row r="490">
      <c r="B490" s="120"/>
      <c r="E490" s="120"/>
    </row>
    <row r="491">
      <c r="B491" s="120"/>
      <c r="E491" s="120"/>
    </row>
    <row r="492">
      <c r="B492" s="120"/>
      <c r="E492" s="120"/>
    </row>
    <row r="493">
      <c r="B493" s="120"/>
      <c r="E493" s="120"/>
    </row>
    <row r="494">
      <c r="B494" s="120"/>
      <c r="E494" s="120"/>
    </row>
    <row r="495">
      <c r="B495" s="120"/>
      <c r="E495" s="120"/>
    </row>
    <row r="496">
      <c r="B496" s="120"/>
      <c r="E496" s="120"/>
    </row>
    <row r="497">
      <c r="B497" s="120"/>
      <c r="E497" s="120"/>
    </row>
    <row r="498">
      <c r="B498" s="120"/>
      <c r="E498" s="120"/>
    </row>
    <row r="499">
      <c r="B499" s="120"/>
      <c r="E499" s="120"/>
    </row>
    <row r="500">
      <c r="B500" s="120"/>
      <c r="E500" s="120"/>
    </row>
    <row r="501">
      <c r="B501" s="120"/>
      <c r="E501" s="120"/>
    </row>
    <row r="502">
      <c r="B502" s="120"/>
      <c r="E502" s="120"/>
    </row>
    <row r="503">
      <c r="B503" s="120"/>
      <c r="E503" s="120"/>
    </row>
    <row r="504">
      <c r="B504" s="120"/>
      <c r="E504" s="120"/>
    </row>
    <row r="505">
      <c r="B505" s="120"/>
      <c r="E505" s="120"/>
    </row>
    <row r="506">
      <c r="B506" s="120"/>
      <c r="E506" s="120"/>
    </row>
    <row r="507">
      <c r="B507" s="120"/>
      <c r="E507" s="120"/>
    </row>
    <row r="508">
      <c r="B508" s="120"/>
      <c r="E508" s="120"/>
    </row>
    <row r="509">
      <c r="B509" s="120"/>
      <c r="E509" s="120"/>
    </row>
    <row r="510">
      <c r="B510" s="120"/>
      <c r="E510" s="120"/>
    </row>
    <row r="511">
      <c r="B511" s="120"/>
      <c r="E511" s="120"/>
    </row>
    <row r="512">
      <c r="B512" s="120"/>
      <c r="E512" s="120"/>
    </row>
    <row r="513">
      <c r="B513" s="120"/>
      <c r="E513" s="120"/>
    </row>
    <row r="514">
      <c r="B514" s="120"/>
      <c r="E514" s="120"/>
    </row>
    <row r="515">
      <c r="B515" s="120"/>
      <c r="E515" s="120"/>
    </row>
    <row r="516">
      <c r="B516" s="120"/>
      <c r="E516" s="120"/>
    </row>
    <row r="517">
      <c r="B517" s="120"/>
      <c r="E517" s="120"/>
    </row>
    <row r="518">
      <c r="B518" s="120"/>
      <c r="E518" s="120"/>
    </row>
    <row r="519">
      <c r="B519" s="120"/>
      <c r="E519" s="120"/>
    </row>
    <row r="520">
      <c r="B520" s="120"/>
      <c r="E520" s="120"/>
    </row>
    <row r="521">
      <c r="B521" s="120"/>
      <c r="E521" s="120"/>
    </row>
    <row r="522">
      <c r="B522" s="120"/>
      <c r="E522" s="120"/>
    </row>
    <row r="523">
      <c r="B523" s="120"/>
      <c r="E523" s="120"/>
    </row>
    <row r="524">
      <c r="B524" s="120"/>
      <c r="E524" s="120"/>
    </row>
    <row r="525">
      <c r="B525" s="120"/>
      <c r="E525" s="120"/>
    </row>
    <row r="526">
      <c r="B526" s="120"/>
      <c r="E526" s="120"/>
    </row>
    <row r="527">
      <c r="B527" s="120"/>
      <c r="E527" s="120"/>
    </row>
    <row r="528">
      <c r="B528" s="120"/>
      <c r="E528" s="120"/>
    </row>
    <row r="529">
      <c r="B529" s="120"/>
      <c r="E529" s="120"/>
    </row>
    <row r="530">
      <c r="B530" s="120"/>
      <c r="E530" s="120"/>
    </row>
    <row r="531">
      <c r="B531" s="120"/>
      <c r="E531" s="120"/>
    </row>
    <row r="532">
      <c r="B532" s="120"/>
      <c r="E532" s="120"/>
    </row>
    <row r="533">
      <c r="B533" s="120"/>
      <c r="E533" s="120"/>
    </row>
    <row r="534">
      <c r="B534" s="120"/>
      <c r="E534" s="120"/>
    </row>
    <row r="535">
      <c r="B535" s="120"/>
      <c r="E535" s="120"/>
    </row>
    <row r="536">
      <c r="B536" s="120"/>
      <c r="E536" s="120"/>
    </row>
    <row r="537">
      <c r="B537" s="120"/>
      <c r="E537" s="120"/>
    </row>
    <row r="538">
      <c r="B538" s="120"/>
      <c r="E538" s="120"/>
    </row>
    <row r="539">
      <c r="B539" s="120"/>
      <c r="E539" s="120"/>
    </row>
    <row r="540">
      <c r="B540" s="120"/>
      <c r="E540" s="120"/>
    </row>
    <row r="541">
      <c r="B541" s="120"/>
      <c r="E541" s="120"/>
    </row>
    <row r="542">
      <c r="B542" s="120"/>
      <c r="E542" s="120"/>
    </row>
    <row r="543">
      <c r="B543" s="120"/>
      <c r="E543" s="120"/>
    </row>
    <row r="544">
      <c r="B544" s="120"/>
      <c r="E544" s="120"/>
    </row>
    <row r="545">
      <c r="B545" s="120"/>
      <c r="E545" s="120"/>
    </row>
    <row r="546">
      <c r="B546" s="120"/>
      <c r="E546" s="120"/>
    </row>
    <row r="547">
      <c r="B547" s="120"/>
      <c r="E547" s="120"/>
    </row>
    <row r="548">
      <c r="B548" s="120"/>
      <c r="E548" s="120"/>
    </row>
    <row r="549">
      <c r="B549" s="120"/>
      <c r="E549" s="120"/>
    </row>
    <row r="550">
      <c r="B550" s="120"/>
      <c r="E550" s="120"/>
    </row>
    <row r="551">
      <c r="B551" s="120"/>
      <c r="E551" s="120"/>
    </row>
    <row r="552">
      <c r="B552" s="120"/>
      <c r="E552" s="120"/>
    </row>
    <row r="553">
      <c r="B553" s="120"/>
      <c r="E553" s="120"/>
    </row>
    <row r="554">
      <c r="B554" s="120"/>
      <c r="E554" s="120"/>
    </row>
    <row r="555">
      <c r="B555" s="120"/>
      <c r="E555" s="120"/>
    </row>
    <row r="556">
      <c r="B556" s="120"/>
      <c r="E556" s="120"/>
    </row>
    <row r="557">
      <c r="B557" s="120"/>
      <c r="E557" s="120"/>
    </row>
    <row r="558">
      <c r="B558" s="120"/>
      <c r="E558" s="120"/>
    </row>
    <row r="559">
      <c r="B559" s="120"/>
      <c r="E559" s="120"/>
    </row>
    <row r="560">
      <c r="B560" s="120"/>
      <c r="E560" s="120"/>
    </row>
    <row r="561">
      <c r="B561" s="120"/>
      <c r="E561" s="120"/>
    </row>
    <row r="562">
      <c r="B562" s="120"/>
      <c r="E562" s="120"/>
    </row>
    <row r="563">
      <c r="B563" s="120"/>
      <c r="E563" s="120"/>
    </row>
    <row r="564">
      <c r="B564" s="120"/>
      <c r="E564" s="120"/>
    </row>
    <row r="565">
      <c r="B565" s="120"/>
      <c r="E565" s="120"/>
    </row>
    <row r="566">
      <c r="B566" s="120"/>
      <c r="E566" s="120"/>
    </row>
    <row r="567">
      <c r="B567" s="120"/>
      <c r="E567" s="120"/>
    </row>
    <row r="568">
      <c r="B568" s="120"/>
      <c r="E568" s="120"/>
    </row>
    <row r="569">
      <c r="B569" s="120"/>
      <c r="E569" s="120"/>
    </row>
    <row r="570">
      <c r="B570" s="120"/>
      <c r="E570" s="120"/>
    </row>
    <row r="571">
      <c r="B571" s="120"/>
      <c r="E571" s="120"/>
    </row>
    <row r="572">
      <c r="B572" s="120"/>
      <c r="E572" s="120"/>
    </row>
    <row r="573">
      <c r="B573" s="120"/>
      <c r="E573" s="120"/>
    </row>
    <row r="574">
      <c r="B574" s="120"/>
      <c r="E574" s="120"/>
    </row>
    <row r="575">
      <c r="B575" s="120"/>
      <c r="E575" s="120"/>
    </row>
    <row r="576">
      <c r="B576" s="120"/>
      <c r="E576" s="120"/>
    </row>
    <row r="577">
      <c r="B577" s="120"/>
      <c r="E577" s="120"/>
    </row>
    <row r="578">
      <c r="B578" s="120"/>
      <c r="E578" s="120"/>
    </row>
    <row r="579">
      <c r="B579" s="120"/>
      <c r="E579" s="120"/>
    </row>
    <row r="580">
      <c r="B580" s="120"/>
      <c r="E580" s="120"/>
    </row>
    <row r="581">
      <c r="B581" s="120"/>
      <c r="E581" s="120"/>
    </row>
    <row r="582">
      <c r="B582" s="120"/>
      <c r="E582" s="120"/>
    </row>
    <row r="583">
      <c r="B583" s="120"/>
      <c r="E583" s="120"/>
    </row>
    <row r="584">
      <c r="B584" s="120"/>
      <c r="E584" s="120"/>
    </row>
    <row r="585">
      <c r="B585" s="120"/>
      <c r="E585" s="120"/>
    </row>
    <row r="586">
      <c r="B586" s="120"/>
      <c r="E586" s="120"/>
    </row>
    <row r="587">
      <c r="B587" s="120"/>
      <c r="E587" s="120"/>
    </row>
    <row r="588">
      <c r="B588" s="120"/>
      <c r="E588" s="120"/>
    </row>
    <row r="589">
      <c r="B589" s="120"/>
      <c r="E589" s="120"/>
    </row>
    <row r="590">
      <c r="B590" s="120"/>
      <c r="E590" s="120"/>
    </row>
    <row r="591">
      <c r="B591" s="120"/>
      <c r="E591" s="120"/>
    </row>
    <row r="592">
      <c r="B592" s="120"/>
      <c r="E592" s="120"/>
    </row>
    <row r="593">
      <c r="B593" s="120"/>
      <c r="E593" s="120"/>
    </row>
    <row r="594">
      <c r="B594" s="120"/>
      <c r="E594" s="120"/>
    </row>
    <row r="595">
      <c r="B595" s="120"/>
      <c r="E595" s="120"/>
    </row>
    <row r="596">
      <c r="B596" s="120"/>
      <c r="E596" s="120"/>
    </row>
    <row r="597">
      <c r="B597" s="120"/>
      <c r="E597" s="120"/>
    </row>
    <row r="598">
      <c r="B598" s="120"/>
      <c r="E598" s="120"/>
    </row>
    <row r="599">
      <c r="B599" s="120"/>
      <c r="E599" s="120"/>
    </row>
    <row r="600">
      <c r="B600" s="120"/>
      <c r="E600" s="120"/>
    </row>
    <row r="601">
      <c r="B601" s="120"/>
      <c r="E601" s="120"/>
    </row>
    <row r="602">
      <c r="B602" s="120"/>
      <c r="E602" s="120"/>
    </row>
    <row r="603">
      <c r="B603" s="120"/>
      <c r="E603" s="120"/>
    </row>
    <row r="604">
      <c r="B604" s="120"/>
      <c r="E604" s="120"/>
    </row>
    <row r="605">
      <c r="B605" s="120"/>
      <c r="E605" s="120"/>
    </row>
    <row r="606">
      <c r="B606" s="120"/>
      <c r="E606" s="120"/>
    </row>
    <row r="607">
      <c r="B607" s="120"/>
      <c r="E607" s="120"/>
    </row>
    <row r="608">
      <c r="B608" s="120"/>
      <c r="E608" s="120"/>
    </row>
    <row r="609">
      <c r="B609" s="120"/>
      <c r="E609" s="120"/>
    </row>
    <row r="610">
      <c r="B610" s="120"/>
      <c r="E610" s="120"/>
    </row>
    <row r="611">
      <c r="B611" s="120"/>
      <c r="E611" s="120"/>
    </row>
    <row r="612">
      <c r="B612" s="120"/>
      <c r="E612" s="120"/>
    </row>
    <row r="613">
      <c r="B613" s="120"/>
      <c r="E613" s="120"/>
    </row>
    <row r="614">
      <c r="B614" s="120"/>
      <c r="E614" s="120"/>
    </row>
    <row r="615">
      <c r="B615" s="120"/>
      <c r="E615" s="120"/>
    </row>
    <row r="616">
      <c r="B616" s="120"/>
      <c r="E616" s="120"/>
    </row>
    <row r="617">
      <c r="B617" s="120"/>
      <c r="E617" s="120"/>
    </row>
    <row r="618">
      <c r="B618" s="120"/>
      <c r="E618" s="120"/>
    </row>
    <row r="619">
      <c r="B619" s="120"/>
      <c r="E619" s="120"/>
    </row>
    <row r="620">
      <c r="B620" s="120"/>
      <c r="E620" s="120"/>
    </row>
    <row r="621">
      <c r="B621" s="120"/>
      <c r="E621" s="120"/>
    </row>
    <row r="622">
      <c r="B622" s="120"/>
      <c r="E622" s="120"/>
    </row>
    <row r="623">
      <c r="B623" s="120"/>
      <c r="E623" s="120"/>
    </row>
    <row r="624">
      <c r="B624" s="120"/>
      <c r="E624" s="120"/>
    </row>
    <row r="625">
      <c r="B625" s="120"/>
      <c r="E625" s="120"/>
    </row>
    <row r="626">
      <c r="B626" s="120"/>
      <c r="E626" s="120"/>
    </row>
    <row r="627">
      <c r="B627" s="120"/>
      <c r="E627" s="120"/>
    </row>
    <row r="628">
      <c r="B628" s="120"/>
      <c r="E628" s="120"/>
    </row>
    <row r="629">
      <c r="B629" s="120"/>
      <c r="E629" s="120"/>
    </row>
    <row r="630">
      <c r="B630" s="120"/>
      <c r="E630" s="120"/>
    </row>
    <row r="631">
      <c r="B631" s="120"/>
      <c r="E631" s="120"/>
    </row>
    <row r="632">
      <c r="B632" s="120"/>
      <c r="E632" s="120"/>
    </row>
    <row r="633">
      <c r="B633" s="120"/>
      <c r="E633" s="120"/>
    </row>
    <row r="634">
      <c r="B634" s="120"/>
      <c r="E634" s="120"/>
    </row>
    <row r="635">
      <c r="B635" s="120"/>
      <c r="E635" s="120"/>
    </row>
    <row r="636">
      <c r="B636" s="120"/>
      <c r="E636" s="120"/>
    </row>
    <row r="637">
      <c r="B637" s="120"/>
      <c r="E637" s="120"/>
    </row>
    <row r="638">
      <c r="B638" s="120"/>
      <c r="E638" s="120"/>
    </row>
    <row r="639">
      <c r="B639" s="120"/>
      <c r="E639" s="120"/>
    </row>
    <row r="640">
      <c r="B640" s="120"/>
      <c r="E640" s="120"/>
    </row>
    <row r="641">
      <c r="B641" s="120"/>
      <c r="E641" s="120"/>
    </row>
    <row r="642">
      <c r="B642" s="120"/>
      <c r="E642" s="120"/>
    </row>
    <row r="643">
      <c r="B643" s="120"/>
      <c r="E643" s="120"/>
    </row>
    <row r="644">
      <c r="B644" s="120"/>
      <c r="E644" s="120"/>
    </row>
    <row r="645">
      <c r="B645" s="120"/>
      <c r="E645" s="120"/>
    </row>
    <row r="646">
      <c r="B646" s="120"/>
      <c r="E646" s="120"/>
    </row>
    <row r="647">
      <c r="B647" s="120"/>
      <c r="E647" s="120"/>
    </row>
    <row r="648">
      <c r="B648" s="120"/>
      <c r="E648" s="120"/>
    </row>
    <row r="649">
      <c r="B649" s="120"/>
      <c r="E649" s="120"/>
    </row>
    <row r="650">
      <c r="B650" s="120"/>
      <c r="E650" s="120"/>
    </row>
    <row r="651">
      <c r="B651" s="120"/>
      <c r="E651" s="120"/>
    </row>
    <row r="652">
      <c r="B652" s="120"/>
      <c r="E652" s="120"/>
    </row>
    <row r="653">
      <c r="B653" s="120"/>
      <c r="E653" s="120"/>
    </row>
    <row r="654">
      <c r="B654" s="120"/>
      <c r="E654" s="120"/>
    </row>
    <row r="655">
      <c r="B655" s="120"/>
      <c r="E655" s="120"/>
    </row>
    <row r="656">
      <c r="B656" s="120"/>
      <c r="E656" s="120"/>
    </row>
    <row r="657">
      <c r="B657" s="120"/>
      <c r="E657" s="120"/>
    </row>
    <row r="658">
      <c r="B658" s="120"/>
      <c r="E658" s="120"/>
    </row>
    <row r="659">
      <c r="B659" s="120"/>
      <c r="E659" s="120"/>
    </row>
    <row r="660">
      <c r="B660" s="120"/>
      <c r="E660" s="120"/>
    </row>
    <row r="661">
      <c r="B661" s="120"/>
      <c r="E661" s="120"/>
    </row>
    <row r="662">
      <c r="B662" s="120"/>
      <c r="E662" s="120"/>
    </row>
    <row r="663">
      <c r="B663" s="120"/>
      <c r="E663" s="120"/>
    </row>
    <row r="664">
      <c r="B664" s="120"/>
      <c r="E664" s="120"/>
    </row>
    <row r="665">
      <c r="B665" s="120"/>
      <c r="E665" s="120"/>
    </row>
    <row r="666">
      <c r="B666" s="120"/>
      <c r="E666" s="120"/>
    </row>
    <row r="667">
      <c r="B667" s="120"/>
      <c r="E667" s="120"/>
    </row>
    <row r="668">
      <c r="B668" s="120"/>
      <c r="E668" s="120"/>
    </row>
    <row r="669">
      <c r="B669" s="120"/>
      <c r="E669" s="120"/>
    </row>
    <row r="670">
      <c r="B670" s="120"/>
      <c r="E670" s="120"/>
    </row>
    <row r="671">
      <c r="B671" s="120"/>
      <c r="E671" s="120"/>
    </row>
    <row r="672">
      <c r="B672" s="120"/>
      <c r="E672" s="120"/>
    </row>
    <row r="673">
      <c r="B673" s="120"/>
      <c r="E673" s="120"/>
    </row>
    <row r="674">
      <c r="B674" s="120"/>
      <c r="E674" s="120"/>
    </row>
    <row r="675">
      <c r="B675" s="120"/>
      <c r="E675" s="120"/>
    </row>
    <row r="676">
      <c r="B676" s="120"/>
      <c r="E676" s="120"/>
    </row>
    <row r="677">
      <c r="B677" s="120"/>
      <c r="E677" s="120"/>
    </row>
    <row r="678">
      <c r="B678" s="120"/>
      <c r="E678" s="120"/>
    </row>
    <row r="679">
      <c r="B679" s="120"/>
      <c r="E679" s="120"/>
    </row>
    <row r="680">
      <c r="B680" s="120"/>
      <c r="E680" s="120"/>
    </row>
    <row r="681">
      <c r="B681" s="120"/>
      <c r="E681" s="120"/>
    </row>
    <row r="682">
      <c r="B682" s="120"/>
      <c r="E682" s="120"/>
    </row>
    <row r="683">
      <c r="B683" s="120"/>
      <c r="E683" s="120"/>
    </row>
    <row r="684">
      <c r="B684" s="120"/>
      <c r="E684" s="120"/>
    </row>
    <row r="685">
      <c r="B685" s="120"/>
      <c r="E685" s="120"/>
    </row>
    <row r="686">
      <c r="B686" s="120"/>
      <c r="E686" s="120"/>
    </row>
    <row r="687">
      <c r="B687" s="120"/>
      <c r="E687" s="120"/>
    </row>
    <row r="688">
      <c r="B688" s="120"/>
      <c r="E688" s="120"/>
    </row>
    <row r="689">
      <c r="B689" s="120"/>
      <c r="E689" s="120"/>
    </row>
    <row r="690">
      <c r="B690" s="120"/>
      <c r="E690" s="120"/>
    </row>
    <row r="691">
      <c r="B691" s="120"/>
      <c r="E691" s="120"/>
    </row>
    <row r="692">
      <c r="B692" s="120"/>
      <c r="E692" s="120"/>
    </row>
    <row r="693">
      <c r="B693" s="120"/>
      <c r="E693" s="120"/>
    </row>
    <row r="694">
      <c r="B694" s="120"/>
      <c r="E694" s="120"/>
    </row>
    <row r="695">
      <c r="B695" s="120"/>
      <c r="E695" s="120"/>
    </row>
    <row r="696">
      <c r="B696" s="120"/>
      <c r="E696" s="120"/>
    </row>
    <row r="697">
      <c r="B697" s="120"/>
      <c r="E697" s="120"/>
    </row>
    <row r="698">
      <c r="B698" s="120"/>
      <c r="E698" s="120"/>
    </row>
    <row r="699">
      <c r="B699" s="120"/>
      <c r="E699" s="120"/>
    </row>
    <row r="700">
      <c r="B700" s="120"/>
      <c r="E700" s="120"/>
    </row>
    <row r="701">
      <c r="B701" s="120"/>
      <c r="E701" s="120"/>
    </row>
    <row r="702">
      <c r="B702" s="120"/>
      <c r="E702" s="120"/>
    </row>
    <row r="703">
      <c r="B703" s="120"/>
      <c r="E703" s="120"/>
    </row>
    <row r="704">
      <c r="B704" s="120"/>
      <c r="E704" s="120"/>
    </row>
    <row r="705">
      <c r="B705" s="120"/>
      <c r="E705" s="120"/>
    </row>
    <row r="706">
      <c r="B706" s="120"/>
      <c r="E706" s="120"/>
    </row>
    <row r="707">
      <c r="B707" s="120"/>
      <c r="E707" s="120"/>
    </row>
    <row r="708">
      <c r="B708" s="120"/>
      <c r="E708" s="120"/>
    </row>
    <row r="709">
      <c r="B709" s="120"/>
      <c r="E709" s="120"/>
    </row>
    <row r="710">
      <c r="B710" s="120"/>
      <c r="E710" s="120"/>
    </row>
    <row r="711">
      <c r="B711" s="120"/>
      <c r="E711" s="120"/>
    </row>
    <row r="712">
      <c r="B712" s="120"/>
      <c r="E712" s="120"/>
    </row>
    <row r="713">
      <c r="B713" s="120"/>
      <c r="E713" s="120"/>
    </row>
    <row r="714">
      <c r="B714" s="120"/>
      <c r="E714" s="120"/>
    </row>
    <row r="715">
      <c r="B715" s="120"/>
      <c r="E715" s="120"/>
    </row>
    <row r="716">
      <c r="B716" s="120"/>
      <c r="E716" s="120"/>
    </row>
    <row r="717">
      <c r="B717" s="120"/>
      <c r="E717" s="120"/>
    </row>
    <row r="718">
      <c r="B718" s="120"/>
      <c r="E718" s="120"/>
    </row>
    <row r="719">
      <c r="B719" s="120"/>
      <c r="E719" s="120"/>
    </row>
    <row r="720">
      <c r="B720" s="120"/>
      <c r="E720" s="120"/>
    </row>
    <row r="721">
      <c r="B721" s="120"/>
      <c r="E721" s="120"/>
    </row>
    <row r="722">
      <c r="B722" s="120"/>
      <c r="E722" s="120"/>
    </row>
    <row r="723">
      <c r="B723" s="120"/>
      <c r="E723" s="120"/>
    </row>
    <row r="724">
      <c r="B724" s="120"/>
      <c r="E724" s="120"/>
    </row>
    <row r="725">
      <c r="B725" s="120"/>
      <c r="E725" s="120"/>
    </row>
    <row r="726">
      <c r="B726" s="120"/>
      <c r="E726" s="120"/>
    </row>
    <row r="727">
      <c r="B727" s="120"/>
      <c r="E727" s="120"/>
    </row>
    <row r="728">
      <c r="B728" s="120"/>
      <c r="E728" s="120"/>
    </row>
    <row r="729">
      <c r="B729" s="120"/>
      <c r="E729" s="120"/>
    </row>
    <row r="730">
      <c r="B730" s="120"/>
      <c r="E730" s="120"/>
    </row>
    <row r="731">
      <c r="B731" s="120"/>
      <c r="E731" s="120"/>
    </row>
    <row r="732">
      <c r="B732" s="120"/>
      <c r="E732" s="120"/>
    </row>
    <row r="733">
      <c r="B733" s="120"/>
      <c r="E733" s="120"/>
    </row>
    <row r="734">
      <c r="B734" s="120"/>
      <c r="E734" s="120"/>
    </row>
    <row r="735">
      <c r="B735" s="120"/>
      <c r="E735" s="120"/>
    </row>
    <row r="736">
      <c r="B736" s="120"/>
      <c r="E736" s="120"/>
    </row>
    <row r="737">
      <c r="B737" s="120"/>
      <c r="E737" s="120"/>
    </row>
    <row r="738">
      <c r="B738" s="120"/>
      <c r="E738" s="120"/>
    </row>
    <row r="739">
      <c r="B739" s="120"/>
      <c r="E739" s="120"/>
    </row>
    <row r="740">
      <c r="B740" s="120"/>
      <c r="E740" s="120"/>
    </row>
    <row r="741">
      <c r="B741" s="120"/>
      <c r="E741" s="120"/>
    </row>
    <row r="742">
      <c r="B742" s="120"/>
      <c r="E742" s="120"/>
    </row>
    <row r="743">
      <c r="B743" s="120"/>
      <c r="E743" s="120"/>
    </row>
    <row r="744">
      <c r="B744" s="120"/>
      <c r="E744" s="120"/>
    </row>
    <row r="745">
      <c r="B745" s="120"/>
      <c r="E745" s="120"/>
    </row>
    <row r="746">
      <c r="B746" s="120"/>
      <c r="E746" s="120"/>
    </row>
    <row r="747">
      <c r="B747" s="120"/>
      <c r="E747" s="120"/>
    </row>
    <row r="748">
      <c r="B748" s="120"/>
      <c r="E748" s="120"/>
    </row>
    <row r="749">
      <c r="B749" s="120"/>
      <c r="E749" s="120"/>
    </row>
    <row r="750">
      <c r="B750" s="120"/>
      <c r="E750" s="120"/>
    </row>
    <row r="751">
      <c r="B751" s="120"/>
      <c r="E751" s="120"/>
    </row>
    <row r="752">
      <c r="B752" s="120"/>
      <c r="E752" s="120"/>
    </row>
    <row r="753">
      <c r="B753" s="120"/>
      <c r="E753" s="120"/>
    </row>
    <row r="754">
      <c r="B754" s="120"/>
      <c r="E754" s="120"/>
    </row>
    <row r="755">
      <c r="B755" s="120"/>
      <c r="E755" s="120"/>
    </row>
    <row r="756">
      <c r="B756" s="120"/>
      <c r="E756" s="120"/>
    </row>
    <row r="757">
      <c r="B757" s="120"/>
      <c r="E757" s="120"/>
    </row>
    <row r="758">
      <c r="B758" s="120"/>
      <c r="E758" s="120"/>
    </row>
    <row r="759">
      <c r="B759" s="120"/>
      <c r="E759" s="120"/>
    </row>
    <row r="760">
      <c r="B760" s="120"/>
      <c r="E760" s="120"/>
    </row>
    <row r="761">
      <c r="B761" s="120"/>
      <c r="E761" s="120"/>
    </row>
    <row r="762">
      <c r="B762" s="120"/>
      <c r="E762" s="120"/>
    </row>
    <row r="763">
      <c r="B763" s="120"/>
      <c r="E763" s="120"/>
    </row>
    <row r="764">
      <c r="B764" s="120"/>
      <c r="E764" s="120"/>
    </row>
    <row r="765">
      <c r="B765" s="120"/>
      <c r="E765" s="120"/>
    </row>
    <row r="766">
      <c r="B766" s="120"/>
      <c r="E766" s="120"/>
    </row>
    <row r="767">
      <c r="B767" s="120"/>
      <c r="E767" s="120"/>
    </row>
    <row r="768">
      <c r="B768" s="120"/>
      <c r="E768" s="120"/>
    </row>
    <row r="769">
      <c r="B769" s="120"/>
      <c r="E769" s="120"/>
    </row>
    <row r="770">
      <c r="B770" s="120"/>
      <c r="E770" s="120"/>
    </row>
    <row r="771">
      <c r="B771" s="120"/>
      <c r="E771" s="120"/>
    </row>
    <row r="772">
      <c r="B772" s="120"/>
      <c r="E772" s="120"/>
    </row>
    <row r="773">
      <c r="B773" s="120"/>
      <c r="E773" s="120"/>
    </row>
    <row r="774">
      <c r="B774" s="120"/>
      <c r="E774" s="120"/>
    </row>
    <row r="775">
      <c r="B775" s="120"/>
      <c r="E775" s="120"/>
    </row>
    <row r="776">
      <c r="B776" s="120"/>
      <c r="E776" s="120"/>
    </row>
    <row r="777">
      <c r="B777" s="120"/>
      <c r="E777" s="120"/>
    </row>
    <row r="778">
      <c r="B778" s="120"/>
      <c r="E778" s="120"/>
    </row>
    <row r="779">
      <c r="B779" s="120"/>
      <c r="E779" s="120"/>
    </row>
    <row r="780">
      <c r="B780" s="120"/>
      <c r="E780" s="120"/>
    </row>
    <row r="781">
      <c r="B781" s="120"/>
      <c r="E781" s="120"/>
    </row>
    <row r="782">
      <c r="B782" s="120"/>
      <c r="E782" s="120"/>
    </row>
    <row r="783">
      <c r="B783" s="120"/>
      <c r="E783" s="120"/>
    </row>
    <row r="784">
      <c r="B784" s="120"/>
      <c r="E784" s="120"/>
    </row>
    <row r="785">
      <c r="B785" s="120"/>
      <c r="E785" s="120"/>
    </row>
    <row r="786">
      <c r="B786" s="120"/>
      <c r="E786" s="120"/>
    </row>
    <row r="787">
      <c r="B787" s="120"/>
      <c r="E787" s="120"/>
    </row>
    <row r="788">
      <c r="B788" s="120"/>
      <c r="E788" s="120"/>
    </row>
    <row r="789">
      <c r="B789" s="120"/>
      <c r="E789" s="120"/>
    </row>
    <row r="790">
      <c r="B790" s="120"/>
      <c r="E790" s="120"/>
    </row>
    <row r="791">
      <c r="B791" s="120"/>
      <c r="E791" s="120"/>
    </row>
    <row r="792">
      <c r="B792" s="120"/>
      <c r="E792" s="120"/>
    </row>
    <row r="793">
      <c r="B793" s="120"/>
      <c r="E793" s="120"/>
    </row>
    <row r="794">
      <c r="B794" s="120"/>
      <c r="E794" s="120"/>
    </row>
    <row r="795">
      <c r="B795" s="120"/>
      <c r="E795" s="120"/>
    </row>
    <row r="796">
      <c r="B796" s="120"/>
      <c r="E796" s="120"/>
    </row>
    <row r="797">
      <c r="B797" s="120"/>
      <c r="E797" s="120"/>
    </row>
    <row r="798">
      <c r="B798" s="120"/>
      <c r="E798" s="120"/>
    </row>
    <row r="799">
      <c r="B799" s="120"/>
      <c r="E799" s="120"/>
    </row>
    <row r="800">
      <c r="B800" s="120"/>
      <c r="E800" s="120"/>
    </row>
    <row r="801">
      <c r="B801" s="120"/>
      <c r="E801" s="120"/>
    </row>
    <row r="802">
      <c r="B802" s="120"/>
      <c r="E802" s="120"/>
    </row>
    <row r="803">
      <c r="B803" s="120"/>
      <c r="E803" s="120"/>
    </row>
    <row r="804">
      <c r="B804" s="120"/>
      <c r="E804" s="120"/>
    </row>
    <row r="805">
      <c r="B805" s="120"/>
      <c r="E805" s="120"/>
    </row>
    <row r="806">
      <c r="B806" s="120"/>
      <c r="E806" s="120"/>
    </row>
    <row r="807">
      <c r="B807" s="120"/>
      <c r="E807" s="120"/>
    </row>
    <row r="808">
      <c r="B808" s="120"/>
      <c r="E808" s="120"/>
    </row>
    <row r="809">
      <c r="B809" s="120"/>
      <c r="E809" s="120"/>
    </row>
    <row r="810">
      <c r="B810" s="120"/>
      <c r="E810" s="120"/>
    </row>
    <row r="811">
      <c r="B811" s="120"/>
      <c r="E811" s="120"/>
    </row>
    <row r="812">
      <c r="B812" s="120"/>
      <c r="E812" s="120"/>
    </row>
    <row r="813">
      <c r="B813" s="120"/>
      <c r="E813" s="120"/>
    </row>
    <row r="814">
      <c r="B814" s="120"/>
      <c r="E814" s="120"/>
    </row>
    <row r="815">
      <c r="B815" s="120"/>
      <c r="E815" s="120"/>
    </row>
    <row r="816">
      <c r="B816" s="120"/>
      <c r="E816" s="120"/>
    </row>
    <row r="817">
      <c r="B817" s="120"/>
      <c r="E817" s="120"/>
    </row>
    <row r="818">
      <c r="B818" s="120"/>
      <c r="E818" s="120"/>
    </row>
    <row r="819">
      <c r="B819" s="120"/>
      <c r="E819" s="120"/>
    </row>
    <row r="820">
      <c r="B820" s="120"/>
      <c r="E820" s="120"/>
    </row>
    <row r="821">
      <c r="B821" s="120"/>
      <c r="E821" s="120"/>
    </row>
    <row r="822">
      <c r="B822" s="120"/>
      <c r="E822" s="120"/>
    </row>
    <row r="823">
      <c r="B823" s="120"/>
      <c r="E823" s="120"/>
    </row>
    <row r="824">
      <c r="B824" s="120"/>
      <c r="E824" s="120"/>
    </row>
    <row r="825">
      <c r="B825" s="120"/>
      <c r="E825" s="120"/>
    </row>
    <row r="826">
      <c r="B826" s="120"/>
      <c r="E826" s="120"/>
    </row>
    <row r="827">
      <c r="B827" s="120"/>
      <c r="E827" s="120"/>
    </row>
    <row r="828">
      <c r="B828" s="120"/>
      <c r="E828" s="120"/>
    </row>
    <row r="829">
      <c r="B829" s="120"/>
      <c r="E829" s="120"/>
    </row>
    <row r="830">
      <c r="B830" s="120"/>
      <c r="E830" s="120"/>
    </row>
    <row r="831">
      <c r="B831" s="120"/>
      <c r="E831" s="120"/>
    </row>
    <row r="832">
      <c r="B832" s="120"/>
      <c r="E832" s="120"/>
    </row>
    <row r="833">
      <c r="B833" s="120"/>
      <c r="E833" s="120"/>
    </row>
    <row r="834">
      <c r="B834" s="120"/>
      <c r="E834" s="120"/>
    </row>
    <row r="835">
      <c r="B835" s="120"/>
      <c r="E835" s="120"/>
    </row>
    <row r="836">
      <c r="B836" s="120"/>
      <c r="E836" s="120"/>
    </row>
    <row r="837">
      <c r="B837" s="120"/>
      <c r="E837" s="120"/>
    </row>
    <row r="838">
      <c r="B838" s="120"/>
      <c r="E838" s="120"/>
    </row>
    <row r="839">
      <c r="B839" s="120"/>
      <c r="E839" s="120"/>
    </row>
    <row r="840">
      <c r="B840" s="120"/>
      <c r="E840" s="120"/>
    </row>
    <row r="841">
      <c r="B841" s="120"/>
      <c r="E841" s="120"/>
    </row>
    <row r="842">
      <c r="B842" s="120"/>
      <c r="E842" s="120"/>
    </row>
    <row r="843">
      <c r="B843" s="120"/>
      <c r="E843" s="120"/>
    </row>
    <row r="844">
      <c r="B844" s="120"/>
      <c r="E844" s="120"/>
    </row>
    <row r="845">
      <c r="B845" s="120"/>
      <c r="E845" s="120"/>
    </row>
    <row r="846">
      <c r="B846" s="120"/>
      <c r="E846" s="120"/>
    </row>
    <row r="847">
      <c r="B847" s="120"/>
      <c r="E847" s="120"/>
    </row>
    <row r="848">
      <c r="B848" s="120"/>
      <c r="E848" s="120"/>
    </row>
    <row r="849">
      <c r="B849" s="120"/>
      <c r="E849" s="120"/>
    </row>
    <row r="850">
      <c r="B850" s="120"/>
      <c r="E850" s="120"/>
    </row>
    <row r="851">
      <c r="B851" s="120"/>
      <c r="E851" s="120"/>
    </row>
    <row r="852">
      <c r="B852" s="120"/>
      <c r="E852" s="120"/>
    </row>
    <row r="853">
      <c r="B853" s="120"/>
      <c r="E853" s="120"/>
    </row>
    <row r="854">
      <c r="B854" s="120"/>
      <c r="E854" s="120"/>
    </row>
    <row r="855">
      <c r="B855" s="120"/>
      <c r="E855" s="120"/>
    </row>
    <row r="856">
      <c r="B856" s="120"/>
      <c r="E856" s="120"/>
    </row>
    <row r="857">
      <c r="B857" s="120"/>
      <c r="E857" s="120"/>
    </row>
    <row r="858">
      <c r="B858" s="120"/>
      <c r="E858" s="120"/>
    </row>
    <row r="859">
      <c r="B859" s="120"/>
      <c r="E859" s="120"/>
    </row>
    <row r="860">
      <c r="B860" s="120"/>
      <c r="E860" s="120"/>
    </row>
    <row r="861">
      <c r="B861" s="120"/>
      <c r="E861" s="120"/>
    </row>
    <row r="862">
      <c r="B862" s="120"/>
      <c r="E862" s="120"/>
    </row>
    <row r="863">
      <c r="B863" s="120"/>
      <c r="E863" s="120"/>
    </row>
    <row r="864">
      <c r="B864" s="120"/>
      <c r="E864" s="120"/>
    </row>
    <row r="865">
      <c r="B865" s="120"/>
      <c r="E865" s="120"/>
    </row>
    <row r="866">
      <c r="B866" s="120"/>
      <c r="E866" s="120"/>
    </row>
    <row r="867">
      <c r="B867" s="120"/>
      <c r="E867" s="120"/>
    </row>
    <row r="868">
      <c r="B868" s="120"/>
      <c r="E868" s="120"/>
    </row>
    <row r="869">
      <c r="B869" s="120"/>
      <c r="E869" s="120"/>
    </row>
    <row r="870">
      <c r="B870" s="120"/>
      <c r="E870" s="120"/>
    </row>
    <row r="871">
      <c r="B871" s="120"/>
      <c r="E871" s="120"/>
    </row>
    <row r="872">
      <c r="B872" s="120"/>
      <c r="E872" s="120"/>
    </row>
    <row r="873">
      <c r="B873" s="120"/>
      <c r="E873" s="120"/>
    </row>
    <row r="874">
      <c r="B874" s="120"/>
      <c r="E874" s="120"/>
    </row>
    <row r="875">
      <c r="B875" s="120"/>
      <c r="E875" s="120"/>
    </row>
    <row r="876">
      <c r="B876" s="120"/>
      <c r="E876" s="120"/>
    </row>
    <row r="877">
      <c r="B877" s="120"/>
      <c r="E877" s="120"/>
    </row>
    <row r="878">
      <c r="B878" s="120"/>
      <c r="E878" s="120"/>
    </row>
    <row r="879">
      <c r="B879" s="120"/>
      <c r="E879" s="120"/>
    </row>
    <row r="880">
      <c r="B880" s="120"/>
      <c r="E880" s="120"/>
    </row>
    <row r="881">
      <c r="B881" s="120"/>
      <c r="E881" s="120"/>
    </row>
    <row r="882">
      <c r="B882" s="120"/>
      <c r="E882" s="120"/>
    </row>
    <row r="883">
      <c r="B883" s="120"/>
      <c r="E883" s="120"/>
    </row>
    <row r="884">
      <c r="B884" s="120"/>
      <c r="E884" s="120"/>
    </row>
    <row r="885">
      <c r="B885" s="120"/>
      <c r="E885" s="120"/>
    </row>
    <row r="886">
      <c r="B886" s="120"/>
      <c r="E886" s="120"/>
    </row>
    <row r="887">
      <c r="B887" s="120"/>
      <c r="E887" s="120"/>
    </row>
    <row r="888">
      <c r="B888" s="120"/>
      <c r="E888" s="120"/>
    </row>
    <row r="889">
      <c r="B889" s="120"/>
      <c r="E889" s="120"/>
    </row>
    <row r="890">
      <c r="B890" s="120"/>
      <c r="E890" s="120"/>
    </row>
    <row r="891">
      <c r="B891" s="120"/>
      <c r="E891" s="120"/>
    </row>
    <row r="892">
      <c r="B892" s="120"/>
      <c r="E892" s="120"/>
    </row>
    <row r="893">
      <c r="B893" s="120"/>
      <c r="E893" s="120"/>
    </row>
    <row r="894">
      <c r="B894" s="120"/>
      <c r="E894" s="120"/>
    </row>
    <row r="895">
      <c r="B895" s="120"/>
      <c r="E895" s="120"/>
    </row>
    <row r="896">
      <c r="B896" s="120"/>
      <c r="E896" s="120"/>
    </row>
    <row r="897">
      <c r="B897" s="120"/>
      <c r="E897" s="120"/>
    </row>
    <row r="898">
      <c r="B898" s="120"/>
      <c r="E898" s="120"/>
    </row>
    <row r="899">
      <c r="B899" s="120"/>
      <c r="E899" s="120"/>
    </row>
    <row r="900">
      <c r="B900" s="120"/>
      <c r="E900" s="120"/>
    </row>
    <row r="901">
      <c r="B901" s="120"/>
      <c r="E901" s="120"/>
    </row>
    <row r="902">
      <c r="B902" s="120"/>
      <c r="E902" s="120"/>
    </row>
    <row r="903">
      <c r="B903" s="120"/>
      <c r="E903" s="120"/>
    </row>
    <row r="904">
      <c r="B904" s="120"/>
      <c r="E904" s="120"/>
    </row>
    <row r="905">
      <c r="B905" s="120"/>
      <c r="E905" s="120"/>
    </row>
    <row r="906">
      <c r="B906" s="120"/>
      <c r="E906" s="120"/>
    </row>
    <row r="907">
      <c r="B907" s="120"/>
      <c r="E907" s="120"/>
    </row>
    <row r="908">
      <c r="B908" s="120"/>
      <c r="E908" s="120"/>
    </row>
    <row r="909">
      <c r="B909" s="120"/>
      <c r="E909" s="120"/>
    </row>
    <row r="910">
      <c r="B910" s="120"/>
      <c r="E910" s="120"/>
    </row>
    <row r="911">
      <c r="B911" s="120"/>
      <c r="E911" s="120"/>
    </row>
    <row r="912">
      <c r="B912" s="120"/>
      <c r="E912" s="120"/>
    </row>
    <row r="913">
      <c r="B913" s="120"/>
      <c r="E913" s="120"/>
    </row>
    <row r="914">
      <c r="B914" s="120"/>
      <c r="E914" s="120"/>
    </row>
    <row r="915">
      <c r="B915" s="120"/>
      <c r="E915" s="120"/>
    </row>
    <row r="916">
      <c r="B916" s="120"/>
      <c r="E916" s="120"/>
    </row>
    <row r="917">
      <c r="B917" s="120"/>
      <c r="E917" s="120"/>
    </row>
    <row r="918">
      <c r="B918" s="120"/>
      <c r="E918" s="120"/>
    </row>
    <row r="919">
      <c r="B919" s="120"/>
      <c r="E919" s="120"/>
    </row>
    <row r="920">
      <c r="B920" s="120"/>
      <c r="E920" s="120"/>
    </row>
    <row r="921">
      <c r="B921" s="120"/>
      <c r="E921" s="120"/>
    </row>
    <row r="922">
      <c r="B922" s="120"/>
      <c r="E922" s="120"/>
    </row>
    <row r="923">
      <c r="B923" s="120"/>
      <c r="E923" s="120"/>
    </row>
    <row r="924">
      <c r="B924" s="120"/>
      <c r="E924" s="120"/>
    </row>
    <row r="925">
      <c r="B925" s="120"/>
      <c r="E925" s="120"/>
    </row>
    <row r="926">
      <c r="B926" s="120"/>
      <c r="E926" s="120"/>
    </row>
    <row r="927">
      <c r="B927" s="120"/>
      <c r="E927" s="120"/>
    </row>
    <row r="928">
      <c r="B928" s="120"/>
      <c r="E928" s="120"/>
    </row>
    <row r="929">
      <c r="B929" s="120"/>
      <c r="E929" s="120"/>
    </row>
    <row r="930">
      <c r="B930" s="120"/>
      <c r="E930" s="120"/>
    </row>
    <row r="931">
      <c r="B931" s="120"/>
      <c r="E931" s="120"/>
    </row>
    <row r="932">
      <c r="B932" s="120"/>
      <c r="E932" s="120"/>
    </row>
    <row r="933">
      <c r="B933" s="120"/>
      <c r="E933" s="120"/>
    </row>
    <row r="934">
      <c r="B934" s="120"/>
      <c r="E934" s="120"/>
    </row>
    <row r="935">
      <c r="B935" s="120"/>
      <c r="E935" s="120"/>
    </row>
    <row r="936">
      <c r="B936" s="120"/>
      <c r="E936" s="120"/>
    </row>
    <row r="937">
      <c r="B937" s="120"/>
      <c r="E937" s="120"/>
    </row>
    <row r="938">
      <c r="B938" s="120"/>
      <c r="E938" s="120"/>
    </row>
    <row r="939">
      <c r="B939" s="120"/>
      <c r="E939" s="120"/>
    </row>
    <row r="940">
      <c r="B940" s="120"/>
      <c r="E940" s="120"/>
    </row>
    <row r="941">
      <c r="B941" s="120"/>
      <c r="E941" s="120"/>
    </row>
    <row r="942">
      <c r="B942" s="120"/>
      <c r="E942" s="120"/>
    </row>
    <row r="943">
      <c r="B943" s="120"/>
      <c r="E943" s="120"/>
    </row>
    <row r="944">
      <c r="B944" s="120"/>
      <c r="E944" s="120"/>
    </row>
    <row r="945">
      <c r="B945" s="120"/>
      <c r="E945" s="120"/>
    </row>
    <row r="946">
      <c r="B946" s="120"/>
      <c r="E946" s="120"/>
    </row>
    <row r="947">
      <c r="B947" s="120"/>
      <c r="E947" s="120"/>
    </row>
    <row r="948">
      <c r="B948" s="120"/>
      <c r="E948" s="120"/>
    </row>
    <row r="949">
      <c r="B949" s="120"/>
      <c r="E949" s="120"/>
    </row>
    <row r="950">
      <c r="B950" s="120"/>
      <c r="E950" s="120"/>
    </row>
    <row r="951">
      <c r="B951" s="120"/>
      <c r="E951" s="120"/>
    </row>
    <row r="952">
      <c r="B952" s="120"/>
      <c r="E952" s="120"/>
    </row>
    <row r="953">
      <c r="B953" s="120"/>
      <c r="E953" s="120"/>
    </row>
    <row r="954">
      <c r="B954" s="120"/>
      <c r="E954" s="120"/>
    </row>
    <row r="955">
      <c r="B955" s="120"/>
      <c r="E955" s="120"/>
    </row>
    <row r="956">
      <c r="B956" s="120"/>
      <c r="E956" s="120"/>
    </row>
    <row r="957">
      <c r="B957" s="120"/>
      <c r="E957" s="120"/>
    </row>
    <row r="958">
      <c r="B958" s="120"/>
      <c r="E958" s="120"/>
    </row>
    <row r="959">
      <c r="B959" s="120"/>
      <c r="E959" s="120"/>
    </row>
    <row r="960">
      <c r="B960" s="120"/>
      <c r="E960" s="120"/>
    </row>
    <row r="961">
      <c r="B961" s="120"/>
      <c r="E961" s="120"/>
    </row>
    <row r="962">
      <c r="B962" s="120"/>
      <c r="E962" s="120"/>
    </row>
    <row r="963">
      <c r="B963" s="120"/>
      <c r="E963" s="120"/>
    </row>
    <row r="964">
      <c r="B964" s="120"/>
      <c r="E964" s="120"/>
    </row>
    <row r="965">
      <c r="B965" s="120"/>
      <c r="E965" s="120"/>
    </row>
    <row r="966">
      <c r="B966" s="120"/>
      <c r="E966" s="120"/>
    </row>
    <row r="967">
      <c r="B967" s="120"/>
      <c r="E967" s="120"/>
    </row>
    <row r="968">
      <c r="B968" s="120"/>
      <c r="E968" s="120"/>
    </row>
    <row r="969">
      <c r="B969" s="120"/>
      <c r="E969" s="120"/>
    </row>
    <row r="970">
      <c r="B970" s="120"/>
      <c r="E970" s="120"/>
    </row>
    <row r="971">
      <c r="B971" s="120"/>
      <c r="E971" s="120"/>
    </row>
    <row r="972">
      <c r="B972" s="120"/>
      <c r="E972" s="120"/>
    </row>
    <row r="973">
      <c r="B973" s="120"/>
      <c r="E973" s="120"/>
    </row>
    <row r="974">
      <c r="B974" s="120"/>
      <c r="E974" s="120"/>
    </row>
    <row r="975">
      <c r="B975" s="120"/>
      <c r="E975" s="120"/>
    </row>
    <row r="976">
      <c r="B976" s="120"/>
      <c r="E976" s="120"/>
    </row>
    <row r="977">
      <c r="B977" s="120"/>
      <c r="E977" s="120"/>
    </row>
    <row r="978">
      <c r="B978" s="120"/>
      <c r="E978" s="120"/>
    </row>
    <row r="979">
      <c r="B979" s="120"/>
      <c r="E979" s="120"/>
    </row>
    <row r="980">
      <c r="B980" s="120"/>
      <c r="E980" s="120"/>
    </row>
    <row r="981">
      <c r="B981" s="120"/>
      <c r="E981" s="120"/>
    </row>
    <row r="982">
      <c r="B982" s="120"/>
      <c r="E982" s="120"/>
    </row>
    <row r="983">
      <c r="B983" s="120"/>
      <c r="E983" s="120"/>
    </row>
    <row r="984">
      <c r="B984" s="120"/>
      <c r="E984" s="120"/>
    </row>
    <row r="985">
      <c r="B985" s="120"/>
      <c r="E985" s="120"/>
    </row>
    <row r="986">
      <c r="B986" s="120"/>
      <c r="E986" s="120"/>
    </row>
    <row r="987">
      <c r="B987" s="120"/>
      <c r="E987" s="120"/>
    </row>
    <row r="988">
      <c r="B988" s="120"/>
      <c r="E988" s="120"/>
    </row>
  </sheetData>
  <mergeCells count="5">
    <mergeCell ref="B5:G5"/>
    <mergeCell ref="B10:F10"/>
    <mergeCell ref="B13:F13"/>
    <mergeCell ref="B17:G17"/>
    <mergeCell ref="B20:F20"/>
  </mergeCells>
  <dataValidations>
    <dataValidation type="list" allowBlank="1" showErrorMessage="1" sqref="F6:F9 F11:F12 F14:F16 F18:F19 F21:F23">
      <formula1>"Pass,Fail,Pending,N/A,Accepted"</formula1>
    </dataValidation>
  </dataValidations>
  <drawing r:id="rId1"/>
</worksheet>
</file>